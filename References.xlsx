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DieseArbeitsmappe"/>
  <bookViews>
    <workbookView windowWidth="28800" windowHeight="12180" firstSheet="1" activeTab="1"/>
  </bookViews>
  <sheets>
    <sheet name="Import" sheetId="30" r:id="rId1"/>
    <sheet name="Bibliography" sheetId="21" r:id="rId2"/>
    <sheet name="Add References Manually" sheetId="3" r:id="rId3"/>
  </sheet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tc={3CDE73AC-ED27-46AB-BBDA-4F0A3FEE1A4B}</author>
  </authors>
  <commentList>
    <comment ref="J1"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You can add a link to the pdf-file here</t>
        </r>
      </text>
    </comment>
  </commentList>
</comments>
</file>

<file path=xl/sharedStrings.xml><?xml version="1.0" encoding="utf-8"?>
<sst xmlns="http://schemas.openxmlformats.org/spreadsheetml/2006/main" count="454" uniqueCount="296">
  <si>
    <t>@article{example2024,   title = {A Reference Example},   journal = {Journal of Examples},   publisher = {Example Press},   author = {Doe, Jane},   year = {2024},   month = aug,   pages = {185–209} }</t>
  </si>
  <si>
    <t>Bibtex Citation</t>
  </si>
  <si>
    <t>Key</t>
  </si>
  <si>
    <t>(Key)</t>
  </si>
  <si>
    <t>Year</t>
  </si>
  <si>
    <t>Authors</t>
  </si>
  <si>
    <t>Title</t>
  </si>
  <si>
    <t>DOI</t>
  </si>
  <si>
    <t>Date Added</t>
  </si>
  <si>
    <t>Tags</t>
  </si>
  <si>
    <t>Datei</t>
  </si>
  <si>
    <t>Moodle-Literatur?</t>
  </si>
  <si>
    <t>Exzerpte</t>
  </si>
  <si>
    <t>Notes</t>
  </si>
  <si>
    <t>@techreport{EU2008PhysicalActivityGuidelines,
  author = {{European Union}},
  title = {{EU Physical Activity Guidelines: Recommended Policy Actions in Support of Health-Enhancing Physical Activity}},
  year = {2008},
  institution = {{European Union}},
  address = {Brussels},
  type = {Guidelines}
}</t>
  </si>
  <si>
    <t>guidelines</t>
  </si>
  <si>
    <t>@article{Lee2008,
  title = {Systematic Review of Active Commuting to School and Children’s Physical Activity and Weight},
  volume = {5},
  ISSN = {1543-5474},
  url = {http://dx.doi.org/10.1123/jpah.5.6.930},
  DOI = {10.1123/jpah.5.6.930},
  number = {6},
  journal = {Journal of Physical Activity and Health},
  publisher = {Human Kinetics},
  author = {Lee,  Murray C. and Orenstein,  Marla R. and Richardson,  Maxwell J.},
  year = {2008},
  month = nov,
  pages = {930–949}
}</t>
  </si>
  <si>
    <t>review</t>
  </si>
  <si>
    <t>@article{Brand2014,
  title = {What Works in Community-Based Interventions Promoting Physical Activity and Healthy Eating? A Review of Reviews},
  volume = {11},
  ISSN = {1660-4601},
  url = {http://dx.doi.org/10.3390/ijerph110605866},
  DOI = {10.3390/ijerph110605866},
  number = {6},
  journal = {International Journal of Environmental Research and Public Health},
  publisher = {MDPI AG},
  author = {Brand,  Tilman and Pischke,  Claudia and Steenbock,  Berit and Schoenbach,  Johanna and Poettgen,  Saskia and Samkange-Zeeb,  Florence and Zeeb,  Hajo},
  year = {2014},
  month = may,
  pages = {5866–5888}
}</t>
  </si>
  <si>
    <t>https://ennosgermancourse-my.sharepoint.com/:b:/r/personal/enno_winkler_spb-ew_de/Documents/Lehre%20%20So%20Se2026/Modul-08-006-0007/Literatur/What%20works%20healthy%20eating%20and%20activity%20community%20based.pdf?csf=1&amp;web=1&amp;e=sCzZfE</t>
  </si>
  <si>
    <t>@article{Kelly2008,
  title = {Systematic Review of Multicomponent Interventions with Overweight Middle Adolescents: Implications for Clinical Practice and Research},
  volume = {5},
  ISSN = {1741-6787},
  url = {http://dx.doi.org/10.1111/j.1741-6787.2008.00131.x},
  DOI = {10.1111/j.1741-6787.2008.00131.x},
  number = {3},
  journal = {Worldviews on Evidence-Based Nursing},
  publisher = {Wiley},
  author = {Kelly,  Stephanie A. and Melnyk,  Bernadette Mazurek},
  year = {2008},
  month = sep,
  pages = {113–135}
}</t>
  </si>
  <si>
    <t>https://ennosgermancourse-my.sharepoint.com/:b:/r/personal/enno_winkler_spb-ew_de/Documents/Lehre%20%20So%20Se2026/Modul-08-006-0007/Literatur/Worldviews%20Ev%20Based%20Nurs%20-%202008%20-%20Kelly%20-%20Systematic%20Review%20of%20Multicomponent%20Interventions%20with%20Overweight%20Middle.pdf?csf=1&amp;web=1&amp;e=GKvKKZ</t>
  </si>
  <si>
    <t>@article{Cale2006,
  title = {Interventions to promote young people’s physical activity: Issues,                  implications and recommendations for practice},
  volume = {65},
  ISSN = {1748-8176},
  url = {http://dx.doi.org/10.1177/0017896906069370},
  DOI = {10.1177/0017896906069370},
  number = {4},
  journal = {Health Education Journal},
  publisher = {SAGE Publications},
  author = {Cale,  Lorraine and Harris,  Jo},
  year = {2006},
  month = dec,
  pages = {320–337}
}</t>
  </si>
  <si>
    <t>https://ennosgermancourse-my.sharepoint.com/:b:/r/personal/enno_winkler_spb-ew_de/Documents/Lehre%20%20So%20Se2026/Modul-08-006-0007/Literatur/HEJ%20Interventions%20paper.pdf?csf=1&amp;web=1&amp;e=T3v8Lv</t>
  </si>
  <si>
    <t>@article{Sallis2012YouthPhysicalActivity,
  author = {Sallis, James F. and Carlson, Jordan and Mignano, Alex M.},
  title = {Promoting youth physical activity through physical education and after-school programs},
  journal = {Adolescent Medicine: State of the Art Reviews},
  year = {2012},
  volume = {23},
  number = {3},
  pages = {493--510},
  url = {https://hdl.handle.net/20.500.14802/23558},
  institution = {Mary MacKillop Institute for Health Research, Faculty of Health Sciences}
}</t>
  </si>
  <si>
    <t>https://ennosgermancourse-my.sharepoint.com/:b:/r/personal/enno_winkler_spb-ew_de/Documents/Lehre%20%20So%20Se2026/Modul-08-006-0007/Literatur/AMSTARS2012.pdf?csf=1&amp;web=1&amp;e=AtTgOr</t>
  </si>
  <si>
    <t>@article{Bully2015,
  title = {Evidence from interventions based on theoretical models for lifestyle modification (physical activity,  diet,  alcohol and tobacco use) in primary care settings: A systematic review},
  volume = {76},
  ISSN = {0091-7435},
  url = {http://dx.doi.org/10.1016/j.ypmed.2014.12.020},
  DOI = {10.1016/j.ypmed.2014.12.020},
  journal = {Preventive Medicine},
  publisher = {Elsevier BV},
  author = {Bully,  Paola and Sánchez,  Álvaro and Zabaleta-del-Olmo,  Edurne and Pombo,  Haizea and Grandes,  Gonzalo},
  year = {2015},
  month = jul,
  pages = {S76–S93}
}</t>
  </si>
  <si>
    <t>https://ennosgermancourse-my.sharepoint.com/:b:/r/personal/enno_winkler_spb-ew_de/Documents/Lehre%20%20So%20Se2026/Modul-08-006-0007/Literatur/Evidence_from_interventions_based_on_the.pdf?csf=1&amp;web=1&amp;e=mG083W</t>
  </si>
  <si>
    <t>Gute Quelle für theoriebasierte Interventionen, besonders TTM</t>
  </si>
  <si>
    <t>@article{Maher2014,
  title = {Are Health Behavior Change Interventions That Use Online Social Networks Effective? A Systematic Review},
  volume = {16},
  ISSN = {1438-8871},
  url = {http://dx.doi.org/10.2196/jmir.2952},
  DOI = {10.2196/jmir.2952},
  number = {2},
  journal = {Journal of Medical Internet Research},
  publisher = {JMIR Publications Inc.},
  author = {Maher,  Carol A and Lewis,  Lucy K and Ferrar,  Katia and Marshall,  Simon and De Bourdeaudhuij,  Ilse and Vandelanotte,  Corneel},
  year = {2014},
  month = feb,
  pages = {e40}
}</t>
  </si>
  <si>
    <t>Interssant als Online-Ansatz</t>
  </si>
  <si>
    <t>@book{Bartholomew2006,
  author = {Bartholomew, L. Kay and Parcel, Guy S. and Kok, Gerjo and Gottlieb, Nell H.},
  title = {Planning health promotion programs: An intervention mapping approach},
  edition = {2},
  publisher = {Jossey-Bass/Wiley},
  address = {Hoboken, NJ},
  year = {2006},
  isbn = {9780787978990}
}</t>
  </si>
  <si>
    <t>lehrwerk</t>
  </si>
  <si>
    <t>https://ennosgermancourse-my.sharepoint.com/:b:/r/personal/enno_winkler_spb-ew_de/Documents/Lehre%20%20So%20Se2026/Intervention%20Mapping%20I/Literatur/Planning_Health_Promotion_Programs_An_In.pdf?csf=1&amp;web=1&amp;e=r9DZS6</t>
  </si>
  <si>
    <r>
      <rPr>
        <sz val="11"/>
        <rFont val="Calibri"/>
        <charset val="0"/>
        <scheme val="minor"/>
      </rPr>
      <t xml:space="preserve"># Seite 287 -
- das ökologische Modell = Framework
</t>
    </r>
    <r>
      <rPr>
        <b/>
        <sz val="11"/>
        <rFont val="Calibri"/>
        <charset val="0"/>
        <scheme val="minor"/>
      </rPr>
      <t>summarise recent reviews that cover individual and group approaches</t>
    </r>
    <r>
      <rPr>
        <sz val="11"/>
        <rFont val="Calibri"/>
        <charset val="0"/>
        <scheme val="minor"/>
      </rPr>
      <t xml:space="preserve">
- Hillson and Thorogood (1996) --&gt; kein UK trial verfügbar, individuelle Interventionen am effektivsten
-Kahn et al (2002) unterteilt in informative, verhaltensorientierte und soziale Unterstützungs - Interventionen.
     - keine Evidenz für familienbasierte
     - lokale Netzwerke wie buddy, Walking-Grupppen, Kontakte funktionieren, auch Anrufe oder Supportgruppen
      - Personalisierung ist wichtig
- Hillsdon et al. (2003): Rat vom Arzt und vermittlung an Spezialist hilft; community: nicht facility-based, moderat, und mit Kontakt zu Sportspezialist ist am besten; Arbeitsplatz: keine konsistenten Beweise
</t>
    </r>
    <r>
      <rPr>
        <b/>
        <sz val="11"/>
        <rFont val="Calibri"/>
        <charset val="0"/>
        <scheme val="minor"/>
      </rPr>
      <t xml:space="preserve">give examples of studies that have used a group setting to promote physical activity
</t>
    </r>
    <r>
      <rPr>
        <sz val="11"/>
        <rFont val="Calibri"/>
        <charset val="0"/>
        <scheme val="minor"/>
      </rPr>
      <t>- Project Active (Dunn et al. 1998, 1997, 1999)
     - testete "active living approach"
     - TTM
     - Structured Exercise vs. Active living (2x2)
     - 6 Monate: 85 %  (structured) vs 78% (active) Kriterium erreicht
     - beide Gruppen etwa gleich gut
     - langfristig nur etwa 20%, wobei active living billiger war (6 monate - 46 Euro vs 190 Euro bei Fitness)
- SWEAT; Sedentary Women Exercise Adherence ( Cox et al 2003; Mc Tiernan et al. 2003)
      - Nutzte das TTM
     - betreut vs. home-based</t>
    </r>
  </si>
  <si>
    <t xml:space="preserve">@incollection{assembly2017resolution,
  title = {{Resolution adopted by the General Assembly on 6 July 2017}},
  author = {{United Nations General Assembly}},
  booktitle = {Technical Report A/RES/71/313},
  year = {2017}
}
</t>
  </si>
  <si>
    <t>quellen aus meiner BA</t>
  </si>
  <si>
    <t>@article{Foster2021,
  title = {25 Years of session rating of perceived exertion: Historical Perspective and Development},
  volume = {16},
  ISSN = {1555-0273},
  url = {http://dx.doi.org/10.1123/ijspp.2020-0599},
  DOI = {10.1123/ijspp.2020-0599},
  number = {5},
  journal = {International Journal of Sports Physiology and Performance},
  publisher = {Human Kinetics},
  author = {Foster,  Carl and Boullosa,  Daniel and McGuigan,  Michael and Fusco,  Andrea and Cortis,  Cristina and Arney,  Blaine E. and Orton,  Bo and Dodge,  Christopher and Jaime,  Salvador and Radtke,  Kim and van Erp,  Teun and de Koning,  Jos J. and Bok,  Daniel and Rodriguez-Marroyo,  Jose A. and Porcari,  John P.},
  year = {2021},
  month = may,
  pages = {612–621}
}</t>
  </si>
  <si>
    <t>@article{Peterson1982,
  title = {The attributional style questionnaire},
  volume = {6},
  ISSN = {1573-2819},
  url = {http://dx.doi.org/10.1007/BF01173577},
  DOI = {10.1007/bf01173577},
  number = {3},
  journal = {Cognitive Therapy and Research},
  publisher = {Springer Science and Business Media LLC},
  author = {Peterson,  Christopher and Semmel,  Amy and von Baeyer,  Carl and Abramson,  Lyn Y. and Metalsky,  Gerald I. and Seligman,  Martin E. P.},
  year = {1982},
  month = sep,
  pages = {287–299}
}</t>
  </si>
  <si>
    <t>https://ennosgermancourse-my.sharepoint.com/:b:/r/personal/enno_winkler_spb-ew_de/Documents/A%20Fernstudium%20Kursmaterial/Bachelorarbeit/Info/LIT/Attribution%20Questionnaire.pdf?csf=1&amp;web=1&amp;e=2zOMdl</t>
  </si>
  <si>
    <t>@article{Watson1988,
  title = {Development and validation of brief measures of positive and negative affect: The PANAS scales.},
  volume = {54},
  ISSN = {0022-3514},
  url = {http://dx.doi.org/10.1037/0022-3514.54.6.1063},
  DOI = {10.1037/0022-3514.54.6.1063},
  number = {6},
  journal = {Journal of Personality and Social Psychology},
  publisher = {American Psychological Association (APA)},
  author = {Watson,  David and Clark,  Lee Anna and Tellegen,  Auke},
  year = {1988},
  pages = {1063–1070}
}</t>
  </si>
  <si>
    <t>@misc{RKI_2022,
  author = {{Robert Koch-Institut}},
  title = {{Dashboard zu Gesundheit in Deutschland aktuell - GEDA 2019/2020}},
  year = {2022},
  publisher = {Robert Koch-Institut},
  address = {Berlin},
  doi = {10.25646/9362}
}</t>
  </si>
  <si>
    <t>@book{WHO_2023,
  author = {{World Health Organization}},
  title = {Step Up! Tackling the burden of insufficient physical activity in europe},
  year = {2023},
  publisher = {World Health Organization},
  url = {https://iris.who.int/handle/10665/366327}
}</t>
  </si>
  <si>
    <t>@article{Amireault2013,
  title = {Determinants of physical activity maintenance: A systematic review and meta-analyses},
  volume = {7},
  ISSN = {1743-7202},
  url = {http://dx.doi.org/10.1080/17437199.2012.701060},
  DOI = {10.1080/17437199.2012.701060},
  number = {1},
  journal = {Health Psychology Review},
  publisher = {Informa UK Limited},
  author = {Amireault,  Steve and Godin,  Gaston and Vézina-Im,  Lydi-Anne},
  year = {2013},
  month = mar,
  pages = {55–91}
}</t>
  </si>
  <si>
    <t>https://ennosgermancourse-my.sharepoint.com/:b:/r/personal/enno_winkler_spb-ew_de/Documents/A%20Fernstudium%20Kursmaterial/Bachelorarbeit/Info/LIT/Determinants%20of%20physical%20activity%20maintenance%20a%20systematic%20review%20and%20meta-analyses.pdf?csf=1&amp;web=1&amp;e=Jjhfg9</t>
  </si>
  <si>
    <t>@article{Gilchrist2018Pride,
  title = {Authentic pride regulates runners’ training progress},
  author = {Gilchrist,  Jenna D. and Sabiston,  Catherine M. and Conroy,  David E. and Atkinson,  Michael},
  volume = {38},
  ISSN = {1469-0292},
  url = {http://dx.doi.org/10.1016/j.psychsport.2018.05.007},
  DOI = {10.1016/j.psychsport.2018.05.007},
  journal = {Psychology of Sport and Exercise},
  publisher = {Elsevier BV},
  year = {2018},
  month = sep,
  pages = {10–16}
}</t>
  </si>
  <si>
    <t xml:space="preserve">@article{Gilchrist2018Grit,    abstract = {Grit is an adaptive trait that predicts achievement outcomes in various contexts. However, little is known about the factors that predict grit in achievement domains such as sport and exercise. Using the broaden-and-build theory as the guiding framework, we sought to test a model whereby feelings of pride predicted grit across two separate samples. Undergraduate athletes (N = 109) and recreational long-distance runners (N = 116) completed questionnaires at a single time-point. In study 1, state pride was positively associated with grit (r = 0.26, p =.003). No gender differences were observed. In study 2, both global and fitness-related pride were assessed to determine their association with grit. Inverse associations between global pride and grit were noted for authentic (β = 0.33, p &lt;.001) and hubristic (β = −0.26, p =.003) pride. Only fitness-related authentic (β = 0.42, p =.003), but not hubristic (β = 27, p =.053), pride was a significant predictor of grit. Findings provide initial insight into pride and grit in sport and exercise contexts. Partial support for the broaden-and-build theory was found. Specifically, experiences of pride are associated with grit, but only when success is attributed to one's own effort. Attributing success to innate ability or superiority may result in reduced persistence and interest toward goal attainment. Given these findings, it may be important to create opportunities to experience authentic pride to develop grit.},    author = {Gilchrist, Jenna D. and Fong, Angela J. and Herbison, Jordan D. and Sabiston, Catherine M.},    doi = {10.1016/J.PSYCHSPORT.2017.12.009},    issn = {1469-0292},    journal = {Psychology of Sport and Exercise},    keywords = {Broaden-and-build theory,Exercise,Gender,Positive emotions,Sport},    month = {5},    pages = {1-7},    publisher = {Elsevier},    title = {Feelings of pride are associated with grit in student-athletes and recreational runners},    volume = {36},    year = {2018} } </t>
  </si>
  <si>
    <t xml:space="preserve">@article{Mack2015,
  title = {Pride and physical activity: Behavioural regulations as a motivational mechanism?},
  volume = {30},
  ISSN = {1476-8321},
  url = {http://dx.doi.org/10.1080/08870446.2015.1022547},
  DOI = {10.1080/08870446.2015.1022547},
  number = {9},
  journal = {Psychology &amp;; Health},
  publisher = {Informa UK Limited},
  author = {Mack,  Diane E. and Kouali,  Despina and Gilchrist,  Jenna D. and Sabiston,  Catherine M.},
  year = {2015},
  month = mar,
  pages = {1049–1062}
}
</t>
  </si>
  <si>
    <t>@article{Tracy2007,
  title = {Authentic and hubristic pride scales},
  url = {http://dx.doi.org/10.1037/t06465-000},
  DOI = {10.1037/t06465-000},
  journal = {PsycTESTS Dataset},
  publisher = {American Psychological Association (APA)},
  author = {Tracy,  Jessica L. and Robins,  Richard W.},
  year = {2007}
}</t>
  </si>
  <si>
    <t>@inbook{Marcus1997,
  title = {Initiation and maintenance of exercise behavior},
  ISBN = {9781489917607},
  url = {http://dx.doi.org/10.1007/978-1-4899-1760-7_18},
  DOI = {10.1007/978-1-4899-1760-7_18},
  booktitle = {Handbook of Health Behavior Research II},
  publisher = {Springer US},
  author = {Marcus,  Bess H. and Bock,  Beth C. and Pinto,  Bernardine M.},
  year = {1997},
  pages = {335–352}
}</t>
  </si>
  <si>
    <t>@article{Marcus1993,
  title = {Evaluation of relapse prevention and reinforcement interventions to promote exercise adherence in sedentary females},
  volume = {64},
  ISSN = {2168-3824},
  url = {http://dx.doi.org/10.1080/02701367.1993.10607598},
  DOI = {10.1080/02701367.1993.10607598},
  number = {4},
  journal = {Research Quarterly for Exercise and Sport},
  publisher = {Informa UK Limited},
  author = {Marcus,  Bess H. and Stanton,  Annette L.},
  year = {1993},
  month = {dec},
  pages = {447–452}
}</t>
  </si>
  <si>
    <t>@article{Martin1984,
  title = {Behavioral control of exercise in sedentary adults: Studies 1 through 6.},
  volume = {52},
  ISSN = {0022-006X},
  url = {http://dx.doi.org/10.1037/0022-006X.52.5.795},
  DOI = {10.1037/0022-006x.52.5.795},
  number = {5},
  journal = {Journal of Consulting and Clinical Psychology},
  publisher = {American Psychological Association (APA)},
  author = {Martin,  John e. and Dubbert,  Patricia M. and Katell,  Alan D. and Thompson,  J. Kevin and Raczynski,  James R. and Lake,  Mary and Smith,  Patrick O. and Webster,  Jeffrey S. and Sikora,  Thomas and Cohen,  Randye E.},
  year = {1984},
  month = {oct},
  pages = {795–811}
}</t>
  </si>
  <si>
    <t>@article{Stetson2005,
  title = {Exercise slips in high-risk situations and activity patterns in long-term exercisers: An application of the relapse prevention model},
  volume = {30},
  ISSN = {1532-4796},
  url = {http://dx.doi.org/10.1207/s15324796abm3001_4},
  DOI = {10.1207/s15324796abm3001_4},
  number = {1},
  journal = {Annals of Behavioral Medicine},
  publisher = {Oxford University Press (OUP)},
  author = {Stetson,  Barbara A. and Beacham,  Abbie O. and Frommelt,  Stephen J. and Boutelle,  Kerri N. and Cole,  Jonathan D. and Ziegler,  Craig H. and Looney,  Stephen W.},
  year = {2005},
  month = aug,
  pages = {25–35}
}</t>
  </si>
  <si>
    <t>https://ennosgermancourse-my.sharepoint.com/:b:/r/personal/enno_winkler_spb-ew_de/Documents/A%20Fernstudium%20Kursmaterial/Bachelorarbeit/Info/LIT/Exercise%20Slips%20in%20High-Risk%20Situations%20and%20Activity%20Patterns%20in%20Long-Term%20Exercisers.pdf?csf=1&amp;web=1&amp;e=geTkBC</t>
  </si>
  <si>
    <t xml:space="preserve">  @Article{lme4,
    title = {Fitting linear mixed-effects models using {{lme4}}},
    author = {Douglas Bates and Martin Mächler and Ben Bolker and Steve Walker},
    journal = {Journal of Statistical Software},
    year = {2015},
    volume = {67},
    number = {1},
    pages = {1--48},
    doi = {10.18637/jss.v067.i01},
  }</t>
  </si>
  <si>
    <t>@article{Marlatt1984,
  title = {Relapse prevention: Introduction and overview of the model},
  volume = {79},
  ISSN = {2056-5178},
  DOI = {10.1111/j.1360-0443.1984.tb03867.x},
  number = {4},
  journal = {British Journal of Addiction},
  publisher = {Wiley},
  author = {Marlatt,  G. Alan and George,  William H.},
  year = {1984},
  month = {dec},
  pages = {261–273}
}</t>
  </si>
  <si>
    <t>https://ennosgermancourse-my.sharepoint.com/:b:/r/personal/enno_winkler_spb-ew_de/Documents/A%20Fernstudium%20Kursmaterial/Bachelorarbeit/Info/LIT/British%20Journal%20of%20Addiction%20-%20December%201984%20-%20Marlatt%20-%20Relapse%20Prevention%20Introduction%20and%20Overview%20of%20the%20Model.pdf?csf=1&amp;web=1&amp;e=1bgEat</t>
  </si>
  <si>
    <t>@article{Tompuri2015,
  title = {Metabolic equivalents of task are confounded by adiposity,  which disturbs objective measurement of physical activity},
  volume = {6},
  ISSN = {1664-042X},
  url = {http://dx.doi.org/10.3389/fphys.2015.00226},
  DOI = {10.3389/fphys.2015.00226},
  journal = {Frontiers in Physiology},
  publisher = {Frontiers Media SA},
  author = {Tompuri,  Tuomo T.},
  year = {2015},
  month = aug 
}</t>
  </si>
  <si>
    <t>@book{hollmann2009sportmedizin,
  author = {Hollmann, Wildor and Strüder, Heiko K.},
  title = {{Sportmedizin. Grundlagen für physische Aktivität, Training und Präventivmedizin}},
  edition = {5th},
  publisher = {Schattauer},
  year = {2009}
}</t>
  </si>
  <si>
    <t xml:space="preserve">@Inbook{Eckert2014,
author = {Eckert, Katharina
and Lange, Martin
and Wagner, Petra},
editor = {Becker, Simone},
title = {{Erfassung körperlicher Aktivität - Ein Überblick über Anspruch und Realität einer validen Messung}},
bookTitle = {{Aktiv und Gesund? Interdisziplinäre Perspektiven auf den Zusammenhang zwischen Sport und Gesundheit}},
year = {2014},
publisher = {Springer Fachmedien Wiesbaden},
address = {Wiesbaden},
pages = {97--124},
abstract = {Körperliche Aktivität ist in Prävention und Rehabilitation eine evidente Gesundheitsressource. Insgesamt weiß man aber noch zu wenig über das Dosis-Wirkungsgefüge hinsichtlich Art, Umfang und Intensität der körperlichen Aktivität auf verschiedene Gesundheitsparameter. Dies hängt u.a. damit zusammen, dass die akkurate Messung körperlicher Aktivität, trotz einer Vielzahl bestehender objektiver und subjektiver Erfassungsmethoden, nach wie vor unbefriedigend ausfällt.},
isbn = {978-3-531-19063-1},
doi = {10.1007/978-3-531-19063-1_5},
url = {https://doi.org/10.1007/978-3-531-19063-1_5}
}
</t>
  </si>
  <si>
    <t>https://ennosgermancourse-my.sharepoint.com/:b:/r/personal/enno_winkler_spb-ew_de/Documents/A%20Fernstudium%20Kursmaterial/Bachelorarbeit/Info/LIT/Aktiv%20und%20gesund.pdf?csf=1&amp;web=1&amp;e=cnifhs</t>
  </si>
  <si>
    <t>@article{Roordink2021,
  title = {Predictors of lapse and relapse in physical activity and dietary behaviour: a systematic search and review on prospective studies},
  volume = {38},
  ISSN = {1476-8321},
  url = {http://dx.doi.org/10.1080/08870446.2021.1981900},
  DOI = {10.1080/08870446.2021.1981900},
  number = {5},
  journal = {Psychology &amp;; Health},
  publisher = {Informa UK Limited},
  author = {Roordink,  Eline M. and Steenhuis,  Ingrid H. M. and Kroeze,  Willemieke and Schoonmade,  Linda J. and Sniehotta,  Falko F. and van Stralen,  Maartje M.},
  year = {2021},
  month = dec,
  pages = {623–646}
}</t>
  </si>
  <si>
    <t>@article{Piggin2020,
  title = {What is physical activity? A holistic definition for teachers,  researchers and policy Makers},
  volume = {2},
  ISSN = {2624-9367},
  url = {http://dx.doi.org/10.3389/fspor.2020.00072},
  DOI = {10.3389/fspor.2020.00072},
  journal = {Frontiers in Sports and Active Living},
  publisher = {Frontiers Media SA},
  author = {Piggin,  Joe},
  year = {2020},
  month = jun 
}</t>
  </si>
  <si>
    <t>https://ennosgermancourse-my.sharepoint.com/:b:/r/personal/enno_winkler_spb-ew_de/Documents/A%20Fernstudium%20Kursmaterial/Bachelorarbeit/Info/LIT/241023Piggin_Definition_PA.pdf?csf=1&amp;web=1&amp;e=InYJdt</t>
  </si>
  <si>
    <t xml:space="preserve">@article{caspersen1985physical,
  title = {Physical activity, exercise, and physical fitness: definitions and distinctions for health-related research},
  author = {Caspersen, Carl J. and Powell, Kenneth E. and Christenson, Gregory M.},
  journal = {Public Health Reports},
  volume = {100},
  pages = {126--131},
  year = {1985}
}
</t>
  </si>
  <si>
    <t>@incollection{Krug2013,
author = {Krug, Susanne and Jordan, Susanne and Mensink, Gert and Müters, Stephan and Finger, Jonas and Lampert, Thomas},
title = {Körperliche Aktivität},
booktitle = {Bundesgesundheitsblatt - Gesundheitsforschung - Gesundheitsschutz},
volume = {56},
number = {5/6},
publisher = {Robert Koch-Institut, Epidemiologie und Gesundheitsberichterstattung},
year = {2013},
doi = {10.1007/s00103-012-1661-6}
}</t>
  </si>
  <si>
    <t>@incollection{Ainsworth2020,
  author = {Ainsworth, Barbara E. and Der Ananian, Cheryl},
  title = {Physical activity promotion},
  booktitle = {Handbook of Sport Psychology},
  editor = {Tenenbaum, Gershon and Eklund, Robert C.},
  volume = {II},
  edition = {4th},
  year = {2020},
  publisher = {John Wiley \&amp; Sons, Inc.},
  address = {Hoboken, NJ},
  pages = {773–794},
  doi = {doi.org/10.1002/9781119568124.ch37}
}</t>
  </si>
  <si>
    <t>@article{Mcauley1994,
  title = {Enhancing exercise adherence in middle-aged males and females},
  volume = {23},
  ISSN = {0091-7435},
  url = {http://dx.doi.org/10.1006/pmed.1994.1068},
  DOI = {10.1006/pmed.1994.1068},
  number = {4},
  journal = {Preventive Medicine},
  publisher = {Elsevier BV},
  author = {Mcauley,  E. and Courneya,  K.S. and Rudolph,  D.L. and Lox,  C.L.},
  year = {1994},
  month = jul,
  pages = {498–506}
}</t>
  </si>
  <si>
    <t>https://ennosgermancourse-my.sharepoint.com/:b:/r/personal/enno_winkler_spb-ew_de/Documents/A%20Fernstudium%20Kursmaterial/Bachelorarbeit/Info/LIT/Exercise%20Adherence.pdf?csf=1&amp;web=1&amp;e=tPkspJ</t>
  </si>
  <si>
    <t>@incollection{Buckworth2007,
  author = {Buckworth, Janet and Dishman, Rodney K.},
  title = {Exercise adherence},
  booktitle = {Handbook of sport psychology},
  editor = {Tenenbaum, Gershon and Eklund, Robert C.},
  year = {2007},
  pages = {509--536},
  publisher = {John Wiley \&amp; Sons, Inc.},
  address = {Hoboken, NJ},
  isbn = {9780471738114},
  doi = {10.1002/9781118270011},
  url = {https://doi.org/10.1002/9781118270011}
}</t>
  </si>
  <si>
    <t xml:space="preserve">@techreport{WHO2010,
  editor = {{World Health Organization}},
  title = {Global recommendations on physical activity for health},
  year = {2010},
  institution = {World Health Organization},
  address = {Geneva, Switzerland},
  url = {https://iris.who.int/bitstream/handle/10665/44399/9789241599979_eng.pdf?sequence=1},
  note = {Accessed: 24 October 2024}
}
</t>
  </si>
  <si>
    <t>@article{Ding2016,
  title = {The economic burden of physical inactivity: a global analysis of major non-communicable diseases},
  volume = {388},
  ISSN = {0140-6736},
  url = {http://dx.doi.org/10.1016/S0140-6736(16)30383-X},
  DOI = {10.1016/s0140-6736(16)30383-x},
  number = {10051},
  journal = {The Lancet},
  publisher = {Elsevier BV},
  author = {Ding,  Ding and Lawson,  Kenny D and Kolbe-Alexander,  Tracy L and Finkelstein,  Eric A and Katzmarzyk,  Peter T and van Mechelen,  Willem and Pratt,  Michael},
  year = {2016},
  month = sep,
  pages = {1311–1324}
}</t>
  </si>
  <si>
    <t>https://ennosgermancourse-my.sharepoint.com/:b:/r/personal/enno_winkler_spb-ew_de/Documents/A%20Fernstudium%20Kursmaterial/Bachelorarbeit/Info/LIT/Lancet_burden_Phys_inactiv.pdf?csf=1&amp;web=1&amp;e=BW1gbV</t>
  </si>
  <si>
    <t>@article{Myers2004,
  title = {Fitness versus physical activity patterns in predicting mortality in men},
  volume = {117},
  ISSN = {0002-9343},
  url = {http://dx.doi.org/10.1016/j.amjmed.2004.06.047},
  DOI = {10.1016/j.amjmed.2004.06.047},
  number = {12},
  journal = {The American Journal of Medicine},
  publisher = {Elsevier BV},
  author = {Myers,  Jonathan and Kaykha,  Amir and George,  Sheela and Abella,  Joshua and Zaheer,  Naima and Lear,  Scott and Yamazaki,  Takuya and Froelicher,  Victor},
  year = {2004},
  month = dec,
  pages = {912–918}
}</t>
  </si>
  <si>
    <t>https://ennosgermancourse-my.sharepoint.com/:b:/r/personal/enno_winkler_spb-ew_de/Documents/A%20Fernstudium%20Kursmaterial/Bachelorarbeit/Info/LIT/1-s2.0-S0002934304006229-main.pdf?csf=1&amp;web=1&amp;e=gGgROh</t>
  </si>
  <si>
    <t>@article{Lee2012,
  title = {Effect of physical inactivity on major non-communicable diseases worldwide: an analysis of burden of disease and life expectancy},
  volume = {380},
  ISSN = {0140-6736},
  url = {http://dx.doi.org/10.1016/S0140-6736(12)61031-9},
  DOI = {10.1016/s0140-6736(12)61031-9},
  number = {9838},
  journal = {The Lancet},
  publisher = {Elsevier BV},
  author = {Lee,  I-Min and Shiroma,  Eric J and Lobelo,  Felipe and Puska,  Pekka and Blair,  Steven N and Katzmarzyk,  Peter T},
  year = {2012},
  month = jul,
  pages = {219–229}
}</t>
  </si>
  <si>
    <t>https://ennosgermancourse-my.sharepoint.com/:b:/r/personal/enno_winkler_spb-ew_de/Documents/A%20Fernstudium%20Kursmaterial/Bachelorarbeit/Info/LIT/PIIS0140673612610319.pdf?csf=1&amp;web=1&amp;e=veeVmS</t>
  </si>
  <si>
    <t>@article{Paluska2000,
  title = {Physical activity and mental health: current concepts},
  volume = {29},
  ISSN = {0112-1642},
  url = {http://dx.doi.org/10.2165/00007256-200029030-00003},
  DOI = {10.2165/00007256-200029030-00003},
  number = {3},
  journal = {Sports Medicine},
  publisher = {Springer Science and Business Media LLC},
  author = {Paluska,  Scott A. and Schwenk,  Thomas L.},
  year = {2000},
  pages = {167–180}
}</t>
  </si>
  <si>
    <t>https://ennosgermancourse-my.sharepoint.com/:b:/r/personal/enno_winkler_spb-ew_de/Documents/A%20Fernstudium%20Kursmaterial/Bachelorarbeit/Info/LIT/00007256-200029030-00003.pdf?csf=1&amp;web=1&amp;e=RdUDtc</t>
  </si>
  <si>
    <t>@article{Mikkelsen2017,
  title = {Exercise and mental health},
  volume = {106},
  ISSN = {0378-5122},
  url = {http://dx.doi.org/10.1016/j.maturitas.2017.09.003},
  DOI = {10.1016/j.maturitas.2017.09.003},
  journal = {Maturitas},
  publisher = {Elsevier BV},
  author = {Mikkelsen,  Kathleen and Stojanovska,  Lily and Polenakovic,  Momir and Bosevski,  Marijan and Apostolopoulos,  Vasso},
  year = {2017},
  month = dec,
  pages = {48–56}
}</t>
  </si>
  <si>
    <t>@article{Carter2016,
  title = {The Effect of Exercise on Depressive Symptoms in Adolescents: A Systematic Review and Meta-Analysis},
  volume = {55},
  ISSN = {0890-8567},
  url = {http://dx.doi.org/10.1016/j.jaac.2016.04.016},
  DOI = {10.1016/j.jaac.2016.04.016},
  number = {7},
  journal = {Journal of the American Academy of Child &amp;; Adolescent Psychiatry},
  publisher = {Elsevier BV},
  author = {Carter,  Tim and Morres,  Ioannis D. and Meade,  Oonagh and Callaghan,  Patrick},
  year = {2016},
  month = jul,
  pages = {580–590}
}</t>
  </si>
  <si>
    <t>@article{Gillison2009,
  title = {The effects of exercise interventions on quality of life in clinical and healthy populations; a meta-analysis},
  volume = {68},
  ISSN = {0277-9536},
  url = {http://dx.doi.org/10.1016/j.socscimed.2009.02.028},
  DOI = {10.1016/j.socscimed.2009.02.028},
  number = {9},
  journal = {Social Science &amp;; Medicine},
  publisher = {Elsevier BV},
  author = {Gillison,  Fiona Bridget and Skevington,  Suzanne M. and Sato,  Ayana and Standage,  Martyn and Evangelidou,  Stella},
  year = {2009},
  month = may,
  pages = {1700–1710}
}</t>
  </si>
  <si>
    <t>@article{Foster2017,
  title = {Monitoring Training Loads: The Past,  the Present,  and the Future},
  volume = {12},
  ISSN = {1555-0273},
  url = {http://dx.doi.org/10.1123/IJSPP.2016-0388},
  DOI = {10.1123/ijspp.2016-0388},
  number = {s2},
  journal = {International Journal of Sports Physiology and Performance},
  publisher = {Human Kinetics},
  author = {Foster,  Carl and Rodriguez-Marroyo,  Jose A. and de Koning,  Jos J.},
  year = {2017},
  month = apr,
  pages = {S2--2--S2--8}
}</t>
  </si>
  <si>
    <t>instruments</t>
  </si>
  <si>
    <t>@article{Grant1998,
  author = {Grant, S. and Davidson, W. and Aitchison, T. and Wilson, J.},
  title = {A comparison of physiological responses and rating of perceived exertion between high-impact and low-impact aerobic dance sessions},
  journal = {European Journal of Applied Physiology},
  year = {1998},
  volume = {78},
  pages = {324--332},
  publisher = {Springer}
}</t>
  </si>
  <si>
    <t>@article{Foster2001,
  author = {Foster, Carl and Florhaug, Jessica A. and Franklin, Jodi and Gottschall, Lori and Hrovatin, Lauri A. and Parker, Suzanne and Doleshall, Pamela and Dodge, Christopher},
  title = {A New Approach to Monitoring Exercise Training},
  journal = {Journal of Strength and Conditioning Research},
  year = {2001},
  volume = {15},
  number = {1},
  pages = {109--115}
}</t>
  </si>
  <si>
    <t>@article{Day2004,
  title = {Monitoring Exercise Intensity During Resistance Training Using the Session RPE Scale},
  volume = {18},
  ISSN = {1533-4287},
  url = {http://dx.doi.org/10.1519/R-13113.1},
  DOI = {10.1519/r-13113.1},
  number = {2},
  journal = {The Journal of Strength and Conditioning Research},
  publisher = {Ovid Technologies (Wolters Kluwer Health)},
  author = {Day,  Meghan L. and McGuigan,  Michael R. and Brice,  Glenn and Foster,  Carl},
  year = {2004},
  pages = {353}
}</t>
  </si>
  <si>
    <t>@article{Crawford2004,
  title = {The Positive and Negative Affect Schedule (PANAS): Construct validity,  measurement properties and normative data in a large non‐clinical sample},
  volume = {43},
  ISSN = {2044-8260},
  url = {http://dx.doi.org/10.1348/0144665031752934},
  DOI = {10.1348/0144665031752934},
  number = {3},
  journal = {British Journal of Clinical Psychology},
  publisher = {Wiley},
  author = {Crawford,  John R. and Henry,  Julie D.},
  year = {2004},
  month = sep,
  pages = {245–265}
}</t>
  </si>
  <si>
    <t>@article{Corr1996,
  title = {Structure and Validity of the Attributional Style Questionnaire: A Cross-Sample Comparison},
  volume = {130},
  ISSN = {1940-1019},
  url = {http://dx.doi.org/10.1080/00223980.1996.9915038},
  DOI = {10.1080/00223980.1996.9915038},
  number = {6},
  journal = {The Journal of Psychology},
  publisher = {Informa UK Limited},
  author = {Corr,  Philip J. and Gray,  Jeffrey A.},
  year = {1996},
  month = nov,
  pages = {645–657}
}</t>
  </si>
  <si>
    <t>@book{winter1994manual,
  title = {Manual for scoring motive imagery in running text:(Version 4.2)},
  author = {Winter, David G},
  year = {1994},
  publisher = {Winter}
}</t>
  </si>
  <si>
    <t>@article{Sokolowski2000,
  title = {Assessing Achievement,  Affiliation,  and Power Motives All at Once: The Multi-Motive Grid (MMG)},
  volume = {74},
  ISSN = {1532-7752},
  url = {http://dx.doi.org/10.1207/S15327752JPA740109},
  DOI = {10.1207/s15327752jpa740109},
  number = {1},
  journal = {Journal of Personality Assessment},
  publisher = {Informa UK Limited},
  author = {Sokolowski,  Kurt and Schmalt,  Heinz-Dieter and Langens,  Thomas A. and Puca,  Rosa M.},
  year = {2000},
  month = feb,
  pages = {126–145}
}</t>
  </si>
  <si>
    <t>@book{bandura1977social,
  title = {Social Learning Theory},
  author = {Bandura, Albert},
  year = {1977},
  publisher = {Prentice-Hall},
  address = {Englewood Cliffs, NJ},
}</t>
  </si>
  <si>
    <t>@BOOK{Hox2017-dx,
  title = {Multilevel Analysis : Techniques and Applications, Third Edition},
  author = {Hox, Joop and Moerbeek, Mirjam and van de Schoot, Rens},
  publisher = {Taylor \&amp; Francis Group},
  year = {2017},
  address = {Oxford, UNITED KINGDOM},
  keywords = {Social sciences--Statistical methods.}
}</t>
  </si>
  <si>
    <t>@article{Green2016,
  title = {&lt;scp&gt;SIMR&lt;/scp&gt;: an R package for power analysis of generalized linear mixed models by simulation},
  volume = {7},
  ISSN = {2041-210X},
  url = {http://dx.doi.org/10.1111/2041-210X.12504},
  DOI = {10.1111/2041-210x.12504},
  number = {4},
  journal = {Methods in Ecology and Evolution},
  publisher = {Wiley},
  author = {Green,  Peter and MacLeod,  Catriona J.},
  editor = {Nakagawa,  Shinichi},
  year = {2016},
  month = jan,
  pages = {493–498}
}</t>
  </si>
  <si>
    <t>@article{Li2015,
  title = {Multiple imputation: A flexible tool for handling missing data},
  volume = {314},
  ISSN = {0098-7484},
  url = {http://dx.doi.org/10.1001/jama.2015.15281},
  DOI = {10.1001/jama.2015.15281},
  number = {18},
  journal = {JAMA},
  publisher = {American Medical Association (AMA)},
  author = {Li,  Peng and Stuart,  Elizabeth A. and Allison,  David B.},
  year = {2015},
  month = nov,
  pages = {1966}
}</t>
  </si>
  <si>
    <t>@book{Cohen2013,
  title = {Statistical Power Analysis for the Behavioral Sciences},
  ISBN = {9781134742707},
  url = {http://dx.doi.org/10.4324/9780203771587},
  DOI = {10.4324/9780203771587},
  publisher = {Routledge},
  author = {Cohen,  Jacob},
  year = {2013},
  month = may 
}</t>
  </si>
  <si>
    <t xml:space="preserve">@article{nezlek2008introduction,
  title = {An Introduction to Multilevel Modeling for Social and Personality Psychology},
  author = {Nezlek, John B.},
  year = {2008},
  journal = {Social and Personality Psychology Compass},
  volume = {2},
  number = {2},
  pages = {842--860},
}
</t>
  </si>
  <si>
    <t>@misc{ellis2020hierarchical,
  title = {Introduction to R, Chapter 12: Hierarchical Linear Models},
  author = {Ellis, Andrew and Mayer, Boris},
  year = {2020},
  url = {https://methodenlehre.github.io/intro-to-rstats/index.html},
  note = {Accessed: 2025-01-05}
}</t>
  </si>
  <si>
    <t>@Manual{nlme2023,
    title = {nlme: Linear and Nonlinear Mixed Effects Models},
    author = {José Pinheiro and Douglas Bates and {R Core Team}},
    year = {2023},
    note = {R package version 3.1-164},
    url = {https://CRAN.R-project.org/package=nlme}
  }</t>
  </si>
  <si>
    <t xml:space="preserve"> @Article{lme42025,
    title = {Fitting Linear Mixed-Effects Models Using {lme4}},
    author = {Douglas Bates and Martin Mächler and Ben Bolker and Steve Walker},
    journal = {Journal of Statistical Software},
    year = {2015},
    volume = {67},
    number = {1},
    pages = {1--48},
    doi = {10.18637/jss.v067.i01}
}</t>
  </si>
  <si>
    <t>@article{Engel1977,
  title = {The Need for a New Medical Model: A Challenge for Biomedicine},
  volume = {196},
  ISSN = {1095-9203},
  url = {http://dx.doi.org/10.1126/science.847460},
  DOI = {10.1126/science.847460},
  number = {4286},
  journal = {Science},
  publisher = {American Association for the Advancement of Science (AAAS)},
  author = {Engel,  George L.},
  year = {1977},
  month = apr,
  pages = {129–136}
}</t>
  </si>
  <si>
    <t>@article{Ledochowski2016,
  title = {{Körperliche Aktivität als therapeutische Intervention bei Depression}},
  volume = {88},
  ISSN = {1433-0407},
  url = {http://dx.doi.org/10.1007/s00115-016-0222-x},
  DOI = {10.1007/s00115-016-0222-x},
  number = {7},
  journal = {Der Nervenarzt},
  publisher = {Springer Science and Business Media LLC},
  author = {Ledochowski,  L. and Stark,  R. and Ruedl,  G. and Kopp,  M.},
  year = {2016},
  month = sep,
  pages = {765–778}
}</t>
  </si>
  <si>
    <t>https://ennosgermancourse-my.sharepoint.com/:b:/r/personal/enno_winkler_spb-ew_de/Documents/A%20Fernstudium%20Kursmaterial/Bachelorarbeit/Info/LIT/Ledochowski_PA_depression.pdf?csf=1&amp;web=1&amp;e=wkbseE</t>
  </si>
  <si>
    <t>@article{Cooney08,
author = {Cooney, GM, Dwan, K, Greig, CA, Lawlor, DA, Rimer, J, Waugh, FR, McMurdo, M, and Mead, GE},
title = {Exercise for depression},
journal = {Cochrane Database of Systematic Reviews},
number = {9},
year = {2013},
publisher = {John Wiley &amp; Sons, Ltd},
ISSN = {1465-1858},
DOI = {10.1002/14651858.CD004366.pub6},
keywords = {Adult; Depression [*therapy]; Exercise [*psychology]; Humans; Middle Aged; Psychotherapy; Randomized Controlled Trials as Topic; Treatment Outcome; Young Adult},
URL = {https://doi.org//10.1002/14651858.CD004366.pub6}
}</t>
  </si>
  <si>
    <t>@article{Morres2018,
  title = {Aerobic exercise for adult patients with major depressive disorder in mental health services: A systematic review and meta-analysis},
  volume = {36},
  ISSN = {1091-4269},
  url = {http://dx.doi.org/10.1002/da.22842},
  DOI = {10.1002/da.22842},
  number = {1},
  journal = {Depression and Anxiety},
  publisher = {Wiley},
  author = {Morres,  Ioannis D. and Hatzigeorgiadis,  Antonis and Stathi,  Afroditi and Comoutos,  Nikos and Arpin-Cribbie,  Chantal and Krommidas,  Charalampos and Theodorakis,  Yannis},
  year = {2018},
  month = oct,
  pages = {39–53}
}</t>
  </si>
  <si>
    <t>https://ennosgermancourse-my.sharepoint.com/:b:/r/personal/enno_winkler_spb-ew_de/Documents/A%20Fernstudium%20Kursmaterial/Bachelorarbeit/Info/LIT/Depression%20and%20Anxiety%20-%202018%20-%20Morres%20-%20Aerobic%20exercise%20for%20adult%20patients%20with%20major%20depressive%20disorder%20in%20mental.pdf?csf=1&amp;web=1&amp;e=Ov2lg8</t>
  </si>
  <si>
    <t>@article{Sterne2009,
  title = {Multiple imputation for missing data in epidemiological and clinical research: potential and pitfalls},
  volume = {338},
  ISSN = {1468-5833},
  url = {http://dx.doi.org/10.1136/bmj.b2393},
  DOI = {10.1136/bmj.b2393},
  number = {jun29 1},
  journal = {BMJ},
  publisher = {BMJ},
  author = {Sterne,  J. A C and White,  I. R and Carlin,  J. B and Spratt,  M. and Royston,  P. and Kenward,  M. G and Wood,  A. M and Carpenter,  J. R},
  year = {2009},
  month = jun,
  pages = {b2393–b2393}
}</t>
  </si>
  <si>
    <t>" @Manual{rlanguage2024,
    title = {R: A Language and Environment for Statistical Computing},
    author = {{R Core Team}},
    organization = {R Foundation for Statistical Computing},
    address = {Vienna, Austria},
    year = {2024},
    url = {https://www.R-project.org/},
  }"</t>
  </si>
  <si>
    <t>"@Manual{nlme,
  title = {nlme: Linear and Nonlinear Mixed Effects Models},
  author = {José Pinheiro and Douglas Bates and {R Core Team}},
  year = {2024},
  note = {R package version 3.1-166},
  url = {https://CRAN.R-project.org/package=nlme},
}"</t>
  </si>
  <si>
    <t>@article{Wang2015,
  title = {On disaggregating between-person and within-person effects with longitudinal data using multilevel models.},
  volume = {20},
  ISSN = {1082-989X},
  url = {http://dx.doi.org/10.1037/met0000030},
  DOI = {10.1037/met0000030},
  number = {1},
  journal = {Psychological Methods},
  publisher = {American Psychological Association (APA)},
  author = {Wang,  Lijuan (Peggy) and Maxwell,  Scott E.},
  year = {2015},
  pages = {63–83}
}</t>
  </si>
  <si>
    <t>@article{Munaf2017,
  title = {A manifesto for reproducible science},
  volume = {1},
  ISSN = {2397-3374},
  url = {http://dx.doi.org/10.1038/s41562-016-0021},
  DOI = {10.1038/s41562-016-0021},
  number = {1},
  journal = {Nature Human Behaviour},
  publisher = {Springer Science and Business Media LLC},
  author = {Munafò,  Marcus R. and Nosek,  Brian A. and Bishop,  Dorothy V. M. and Button,  Katherine S. and Chambers,  Christopher D. and Percie du Sert,  Nathalie and Simonsohn,  Uri and Wagenmakers,  Eric-Jan and Ware,  Jennifer J. and Ioannidis,  John P. A.},
  year = {2017},
  month = jan 
}</t>
  </si>
  <si>
    <t>@article{manyanalysts,
author = {R. Silberzahn and E. L. Uhlmann and D. P. Martin and P. Anselmi and F. Aust and E. Awtrey and Š. Bahník and F. Bai and C. Bannard and E. Bonnier and R. Carlsson and F. Cheung and G. Christensen and R. Clay and M. A. Craig and A. Dalla Rosa and L. Dam and M. H. Evans and I. Flores Cervantes and N. Fong and M. Gamez-Djokic and A. Glenz and S. Gordon-McKeon and T. J. Heaton and K. Hederos and M. Heene and A. J. Hofelich Mohr and F. Högden and K. Hui and M. Johannesson and J. Kalodimos and E. Kaszubowski and D. M. Kennedy and R. Lei and T. A. Lindsay and S. Liverani and C. R. Madan and D. Molden and E. Molleman and R. D. Morey and L. B. Mulder and B. R. Nijstad and N. G. Pope and B. Pope and J. M. Prenoveau and F. Rink and E. Robusto and H. Roderique and A. Sandberg and E. Schlüter and F. D. Schönbrodt and M. F. Sherman and S. A. Sommer and K. Sotak and S. Spain and C. Spörlein and T. Stafford and L. Stefanutti and S. Tauber and J. Ullrich and M. Vianello and E.-J. Wagenmakers and M. Witkowiak and S. Yoon and B. A. Nosek},
title ={Many Analysts, One Data Set: Making Transparent How Variations in Analytic Choices Affect Results},
journal = {Advances in Methods and Practices in Psychological Science},
volume = {1},
number = {3},
pages = {337-356},
year = {2018},
doi = {10.1177/2515245917747646},
URL = { 
        https://doi.org/10.1177/2515245917747646
},
eprint = { 
        https://doi.org/10.1177/2515245917747646
}
,
    abstract = { Twenty-nine teams involving 61 analysts used the same data set to address the same research question: whether soccer referees are more likely to give red cards to dark-skin-toned players than to light-skin-toned players. Analytic approaches varied widely across the teams, and the estimated effect sizes ranged from 0.89 to 2.93 (Mdn = 1.31) in odds-ratio units. Twenty teams (69\%) found a statistically significant positive effect, and 9 teams (31\%) did not observe a significant relationship. Overall, the 29 different analyses used 21 unique combinations of covariates. Neither analysts’ prior beliefs about the effect of interest nor their level of expertise readily explained the variation in the outcomes of the analyses. Peer ratings of the quality of the analyses also did not account for the variability. These findings suggest that significant variation in the results of analyses of complex data may be difficult to avoid, even by experts with honest intentions. Crowdsourcing data analysis, a strategy in which numerous research teams are recruited to simultaneously investigate the same research question, makes transparent how defensible, yet subjective, analytic choices influence research results. }
}</t>
  </si>
  <si>
    <t>@article{Kummerfeld2023,
  title = {One data set,  many analysts: Implications for practicing scientists},
  volume = {14},
  ISSN = {1664-1078},
  url = {http://dx.doi.org/10.3389/fpsyg.2023.1094150},
  DOI = {10.3389/fpsyg.2023.1094150},
  journal = {Frontiers in Psychology},
  publisher = {Frontiers Media SA},
  author = {Kummerfeld,  Erich and Jones,  Galin L.},
  year = {2023},
  month = feb 
}</t>
  </si>
  <si>
    <t>@article{Perkel2022,
  title = {Cut the tyranny of copy-and-paste with these coding tools},
  volume = {603},
  ISSN = {1476-4687},
  url = {http://dx.doi.org/10.1038/d41586-022-00563-z},
  DOI = {10.1038/d41586-022-00563-z},
  number = {7899},
  journal = {Nature},
  publisher = {Springer Science and Business Media LLC},
  author = {Perkel,  Jeffrey M.},
  year = {2022},
  month = feb,
  pages = {191–192}
}</t>
  </si>
  <si>
    <t>@article{Amrhein2019,
  title = {Scientists rise up against statistical significance},
  volume = {567},
  ISSN = {1476-4687},
  url = {http://dx.doi.org/10.1038/d41586-019-00857-9},
  DOI = {10.1038/d41586-019-00857-9},
  number = {7748},
  journal = {Nature},
  publisher = {Springer Science and Business Media LLC},
  author = {Amrhein,  Valentin and Greenland,  Sander and McShane,  Blake},
  year = {2019},
  month = mar,
  pages = {305–307}
}</t>
  </si>
  <si>
    <t>@article{Mahmood2023,
  title = {Measurement,  determinants,  barriers,  and interventions for exercise adherence: A scoping review},
  volume = {33},
  ISSN = {1360-8592},
  url = {http://dx.doi.org/10.1016/j.jbmt.2022.09.014},
  DOI = {10.1016/j.jbmt.2022.09.014},
  journal = {Journal of Bodywork and Movement Therapies},
  publisher = {Elsevier BV},
  author = {Mahmood,  Amreen and Nayak,  Pradeepa and Deshmukh,  Anagha and English,  Coralie and N,  Manikandan and Solomon M,  John and B,  Unnikrishnan},
  year = {2023},
  month = jan,
  pages = {95–105}
}</t>
  </si>
  <si>
    <t>https://ennosgermancourse-my.sharepoint.com/:b:/g/personal/enno_winkler_spb-ew_de/EQz0TsXSstJKkYw3F5QQ8noBByLZAN4-s6QmJOBy8AFcwg?e=0wr7S9</t>
  </si>
  <si>
    <t>@article{FernandezLazaro2019,
  title = {Adherence to treatment and related factors among patients with chronic conditions in primary care: a cross-sectional study},
  volume = {20},
  ISSN = {1471-2296},
  url = {http://dx.doi.org/10.1186/s12875-019-1019-3},
  DOI = {10.1186/s12875-019-1019-3},
  number = {1},
  journal = {BMC Family Practice},
  publisher = {Springer Science and Business Media LLC},
  author = {Fernandez-Lazaro,  Cesar I. and García-González,  Juan M. and Adams,  David P. and Fernandez-Lazaro,  Diego and Mielgo-Ayuso,  Juan and Caballero-Garcia,  Alberto and Moreno Racionero,  Francisca and Córdova,  Alfredo and Miron-Canelo,  Jose A.},
  year = {2019},
  month = sep 
}</t>
  </si>
  <si>
    <t>@article{Goddard2020,
  title = {Psychological factors involved in adherence to sport injury rehabilitation: a systematic review},
  volume = {14},
  ISSN = {1750-9858},
  url = {http://dx.doi.org/10.1080/1750984X.2020.1744179},
  DOI = {10.1080/1750984x.2020.1744179},
  number = {1},
  journal = {International Review of Sport and Exercise Psychology},
  publisher = {Informa UK Limited},
  author = {Goddard,  Keith and Roberts,  Claire-Marie and Byron-Daniel,  James and Woodford,  Lindsay},
  year = {2020},
  month = mar,
  pages = {51–73}
}</t>
  </si>
  <si>
    <t>https://ennosgermancourse-my.sharepoint.com/:b:/g/personal/enno_winkler_spb-ew_de/EQMKoPfQZ-hJmo4lCzT6dugB9IWXdjF6o-NRyqG_bgK-HQ?e=f9LIKl</t>
  </si>
  <si>
    <t>@article{Brewer2000,
  title = {Attributions for recovery and adherence to rehabilitation following anterior cruciate ligament reconstruction: A prospective analysis},
  volume = {15},
  ISSN = {1476-8321},
  url = {http://dx.doi.org/10.1080/08870440008400307},
  DOI = {10.1080/08870440008400307},
  number = {2},
  journal = {Psychology &amp; Health},
  publisher = {Informa UK Limited},
  author = {Brewer,  Britton W. and Cornelius,  Allen E. and Van Raalte,  Judy L. and Petitpas,  Albert J. and Sklar,  Joseph H. and Pohlman,  Mark H. and Krushell,  Robert J. and Ditmar,  Terry D.},
  year = {2000},
  month = mar,
  pages = {283–291}
}</t>
  </si>
  <si>
    <t xml:space="preserve">@article{mcauley1990attrition,
  title = {Attrition from Exercise Programs: Attributional and Affective Perspectives},
  author = {McAuley, Edward and Poag, Kathleen and Gleason, Andrea and Wraith, Susan},
  journal = {Journal of Social Behavior and Personality},
  year = {1990},
  volume = {5},
  number = {6},
  pages = {591},
  url = {https://www.proquest.com/scholarly-journals/attrition-exercise-programs-attributional/docview/1292241156/se-2}
}
</t>
  </si>
  <si>
    <t>https://ennosgermancourse-my.sharepoint.com/:b:/g/personal/enno_winkler_spb-ew_de/EVGoXOaFwPNGuuIT4dYtTP0Bn3_gMq3U94F-j3XpMlFEIg?e=Dgp0Eq</t>
  </si>
  <si>
    <t>@article{Courneya2004,
  title = {Exercise motivation and adherence in cancer survivors after participation in a randomized controlled trial: An attribution theory perspective},
  volume = {11},
  ISSN = {1532-7558},
  url = {http://dx.doi.org/10.1207/s15327558ijbm1101_2},
  DOI = {10.1207/s15327558ijbm1101_2},
  number = {1},
  journal = {International Journal of Behavioral Medicine},
  publisher = {Springer Science and Business Media LLC},
  author = {Courneya,  Kerry S. and Friedenreich,  Christine M. and Sela,  Rami A. and Quinney,  H. Arthur and Rhodes,  Ryan E. and Jones,  Lee W.},
  year = {2004},
  month = mar,
  pages = {8–17}
}</t>
  </si>
  <si>
    <t>https://ennosgermancourse-my.sharepoint.com/:b:/g/personal/enno_winkler_spb-ew_de/EdvAe5ifSExLhaatxzEj1eIBakef006lDOwyfJEp-4kH4w?e=g4Oh2D</t>
  </si>
  <si>
    <t>@article{McAuley1992,
  title = {Measuring Causal Attributions: The Revised Causal Dimension Scale (CDSII)},
  volume = {18},
  ISSN = {1552-7433},
  url = {http://dx.doi.org/10.1177/0146167292185006},
  DOI = {10.1177/0146167292185006},
  number = {5},
  journal = {Personality and Social Psychology Bulletin},
  publisher = {SAGE Publications},
  author = {McAuley,  Edward and Duncan,  Terry E. and Russell,  Daniel W.},
  year = {1992},
  month = oct,
  pages = {566–573}
}</t>
  </si>
  <si>
    <t xml:space="preserve">@incollection{weiner1986attribution,
  title = {Attribution, Emotion, and Action},
  author = {Weiner, Bernard},
  booktitle = {Handbook of Motivation and Cognition: Foundations of Social Behavior},
  editor = {Sorrentino, Richard M. and Higgins, E. Tory},
  pages = {281--312},
  publisher = {Guilford Press},
  year = {1986}
}
</t>
  </si>
  <si>
    <t>@book{Heider1958,
  title = {The psychology of interpersonal relations.},
  url = {http://dx.doi.org/10.1037/10628-000},
  DOI = {10.1037/10628-000},
  publisher = {John Wiley &amp; Sons Inc},
  author = {Heider,  Fritz},
  year = {1958}
}</t>
  </si>
  <si>
    <t xml:space="preserve">@book{harvey1976new,
  title = {New Directions in Attribution Research: Volume 2},
  editor = {Harvey, J. H. and Ickes, W. J. and Kidd, R. F.},
  edition = {1},
  year = {1976},
  publisher = {Psychology Press},
  address = {New York},
  pages = {468},
  doi = {10.4324/9780203780978},
  note = {eBook published 2018}
}
</t>
  </si>
  <si>
    <t xml:space="preserve">@incollection{manusov2008attribution,
  title = {Attribution Theory},
  author = {Manusov, Valerie and Spitzberg, Brian H.},
  booktitle = {Engaging Theories in Interpersonal Communication: Multiple Perspectives},
  pages = {37--49},
  year = {2008},
  publisher = {Sage}
}
</t>
  </si>
  <si>
    <t>@article{Russell1980,
  title = {A circumplex model of affect.},
  volume = {39},
  ISSN = {0022-3514},
  url = {http://dx.doi.org/10.1037/h0077714},
  DOI = {10.1037/h0077714},
  number = {6},
  journal = {Journal of Personality and Social Psychology},
  publisher = {American Psychological Association (APA)},
  author = {Russell,  James A.},
  year = {1980},
  month = dec,
  pages = {1161–1178}
}#</t>
  </si>
  <si>
    <t xml:space="preserve">@article{eid1999intraindividual,
  title = {Intraindividual Variability in Affect: Reliability, Validity, and Personality Correlates},
  author = {Eid, Michael and Diener, Ed},
  journal = {Journal of Personality and Social Psychology},
  year = {1999},
  volume = {76},
  number = {4},
  pages = {662--676}
}
</t>
  </si>
  <si>
    <t>@article{Watson1985,
  title = {Toward a consensual structure of mood.},
  volume = {98},
  ISSN = {0033-2909},
  url = {http://dx.doi.org/10.1037/0033-2909.98.2.219},
  DOI = {10.1037/0033-2909.98.2.219},
  number = {2},
  journal = {Psychological Bulletin},
  publisher = {American Psychological Association (APA)},
  author = {Watson,  David and Tellegen,  Auke},
  year = {1985},
  pages = {219–235}
}</t>
  </si>
  <si>
    <t>https://ennosgermancourse-my.sharepoint.com/:b:/g/personal/enno_winkler_spb-ew_de/EdoC3U2nqsFOmwa6Rw91gh4BAiSfT3mOwPBrIJ22u3ZVag?e=NHL8gN</t>
  </si>
  <si>
    <t xml:space="preserve">@article{steyer1999latent,
  title = {Latent State–Trait Theory and Research in Personality and Individual Differences},
  author = {Steyer, Rolf and Schmitt, Manfred and Eid, Michael},
  journal = {European Journal of Personality},
  year = {1999},
  volume = {13},
  number = {5},
  pages = {389--408},
  doi = {10.1002/(SICI)1099-0984(199909/10)13:5&lt;389::AID-PER361&gt;3.0.CO;2-A}
}
</t>
  </si>
  <si>
    <t>@article{Reich2003,
  title = {Dimensions of Affect Relationships: Models and Their Integrative Implications},
  volume = {7},
  ISSN = {1939-1552},
  url = {http://dx.doi.org/10.1037/1089-2680.7.1.66},
  DOI = {10.1037/1089-2680.7.1.66},
  number = {1},
  journal = {Review of General Psychology},
  publisher = {SAGE Publications},
  author = {Reich,  John W. and Zautra,  Alex J. and Davis,  Mary},
  year = {2003},
  month = mar,
  pages = {66–83}
}</t>
  </si>
  <si>
    <t>@article{breyer2016panas,
  doi = {10.6102/ZIS242},
  url = {http://zis.gesis.org/DoiId/zis242},
  author = {Breyer,  B. and Bluemke,  M.},
  keywords = {Affektivität,  Wohlbefinden,  Gef\"{u}hl,  Emotion},
  language = {de},
  title = {{Deutsche Version der Positive and Negative Affect Schedule PANAS (GESIS Panel)}},
  journal = {{Zusammenstellung sozialwissenschaftlicher Items und Skalen (ZIS)}},
  publisher = {ZIS - GESIS Leibniz Institute for the Social Sciences},
  year = {2016},
  copyright = {Nutzungsbedingungen: Alle in ZIS dokumentierten Erhebungsinstrumente d\"{u}rfen kostenfrei f\"{u}r nicht-kommerzielle Forschungszwecke verwendet werden.Bei einem Einsatz f\"{u}r andere Zwecke oder in einer anderen als der hier dokumentierten Form ist das Einverständnis der Autoren bzw. Autorinnen einzuholen. In allen resultierenden Arbeiten und Publikationen ist die ZIS-Dokumentation als Quelle anzugeben.}
}</t>
  </si>
  <si>
    <t>@article{Schoedel2023,
  title = {Snapshots of daily life: Situations investigated through the lens of smartphone sensing.},
  volume = {125},
  ISSN = {0022-3514},
  url = {http://dx.doi.org/10.1037/pspp0000469},
  DOI = {10.1037/pspp0000469},
  number = {6},
  journal = {Journal of Personality and Social Psychology},
  publisher = {American Psychological Association (APA)},
  author = {Schoedel,  Ramona and Kunz,  Fiona and Bergmann,  Maximilian and Bemmann,  Florian and B\"{u}hner,  Markus and Sust,  Larissa},
  year = {2023},
  month = dec,
  pages = {1442–1471}
}</t>
  </si>
  <si>
    <t>@article{Meteier2022,
  title = {Carrying a passenger and relaxation before driving: Classification of young drivers’ physiological activation},
  volume = {10},
  ISSN = {2051-817X},
  url = {http://dx.doi.org/10.14814/phy2.15229},
  DOI = {10.14814/phy2.15229},
  number = {10},
  journal = {Physiological Reports},
  publisher = {Wiley},
  author = {Meteier,  Quentin and Capallera,  Marine and De Salis,  Emmanuel and Widmer,  Marino and Angelini,  Leonardo and Abou Khaled,  Omar and Mugellini,  Elena and Sonderegger,  Andreas},
  year = {2022},
  month = may 
}</t>
  </si>
  <si>
    <t xml:space="preserve">@article{kelley1967attribution,
  title = {Attribution Theory in Social Psychology},
  author = {Kelley, Harold H.},
  journal = {Nebraska Symposium on Motivation},
  volume = {15},
  pages = {192--238},
  year = {1967},
  publisher = {University of Nebraska Press},
  address = {US}
}
</t>
  </si>
  <si>
    <t>@article{Klein1976,
  title = {Learned helplessness,  depression,  and the attribution of failure.},
  volume = {33},
  ISSN = {0022-3514},
  url = {http://dx.doi.org/10.1037/0022-3514.33.5.508},
  DOI = {10.1037/0022-3514.33.5.508},
  number = {5},
  journal = {Journal of Personality and Social Psychology},
  publisher = {American Psychological Association (APA)},
  author = {Klein,  David C. and Fencil-Morse,  Ellen and Seligman,  Martin E.},
  year = {1976},
  pages = {508–516}
}</t>
  </si>
  <si>
    <t>@article{Alloy1984,
  title = {Attributional style and the generality of learned helplessness.},
  volume = {46},
  ISSN = {0022-3514},
  url = {http://dx.doi.org/10.1037/0022-3514.46.3.681},
  DOI = {10.1037/0022-3514.46.3.681},
  number = {3},
  journal = {Journal of Personality and Social Psychology},
  publisher = {American Psychological Association (APA)},
  author = {Alloy,  Lauren B. and Peterson,  Christopher and Abramson,  Lyn Y. and Seligman,  Martin E.},
  year = {1984},
  pages = {681–687}
}</t>
  </si>
  <si>
    <t>@article{Seligman1979,
  title = {Depressive attributional style.},
  volume = {88},
  ISSN = {0021-843X},
  url = {http://dx.doi.org/10.1037/0021-843X.88.3.242},
  DOI = {10.1037/0021-843x.88.3.242},
  number = {3},
  journal = {Journal of Abnormal Psychology},
  publisher = {American Psychological Association (APA)},
  author = {Seligman,  Martin E. and Abramson,  Lyn Y. and Semmel,  Amy and von Baeyer,  Carl},
  year = {1979},
  month = jun,
  pages = {242–247}
}</t>
  </si>
  <si>
    <t>@book{Hox2017,
  title = {Multilevel Analysis: Techniques and Applications},
  ISBN = {9781315650982},
  url = {http://dx.doi.org/10.4324/9781315650982},
  DOI = {10.4324/9781315650982},
  publisher = {Routledge},
  author = {Hox,  Joop J. and Moerbeek,  Mirjam and van de Schoot,  Rens},
  year = {2017},
  month = sep 
}</t>
  </si>
  <si>
    <t>@book{Field2012,
author = {Field, Andy and Field, Zoe. and Miles, Jeremy},
title = {Discovering Statistics Using R},
publisher = {Sage},
year = {2012},
address = {London :},
isbn = {9781446258460},
url = {http://digital.casalini.it/9781446258460},
}</t>
  </si>
  <si>
    <t xml:space="preserve">@incollection{hox2017chapter2,
  author = {Hox, Joop J. and Moerbeek, Mirjam and van de Schoot, Rens},
  title = {The Basic Two-Level Regression Model},
  booktitle = {Multilevel Analysis: Techniques and Applications},
  publisher = {Routledge},
  year = {2017},
  pages = {11--48},
  doi = {10.4324/9781315650982-2},
  url = {https://doi.org/10.4324/9781315650982-2}
}
</t>
  </si>
  <si>
    <t>@article{Tsai2008,
  title = {What makes lessons interesting? The role of situational and individual factors in three school subjects.},
  volume = {100},
  ISSN = {0022-0663},
  url = {http://dx.doi.org/10.1037/0022-0663.100.2.460},
  DOI = {10.1037/0022-0663.100.2.460},
  number = {2},
  journal = {Journal of Educational Psychology},
  publisher = {American Psychological Association (APA)},
  author = {Tsai,  Yi-Miau and Kunter,  Mareike and L\"{u}dtke,  Oliver and Trautwein,  Ulrich and Ryan,  Richard M.},
  year = {2008},
  month = may,
  pages = {460–472}
}</t>
  </si>
  <si>
    <t>@article{Nezlek2006,
  title = {Mehrebenenanalysen in der psychologischen Forschung},
  volume = {57},
  ISSN = {2190-6238},
  url = {http://dx.doi.org/10.1026/0033-3042.57.4.213},
  DOI = {10.1026/0033-3042.57.4.213},
  number = {4},
  journal = {Psychologische Rundschau},
  publisher = {Hogrefe Publishing Group},
  author = {Nezlek,  John B. and Schröder-Abé,  Michela and Sch\"{u}tz,  Astrid},
  year = {2006},
  month = oct,
  pages = {213–223}
}</t>
  </si>
  <si>
    <t>@article{Curran2011,
  title = {The Disaggregation of Within-Person and Between-Person Effects in Longitudinal Models of Change},
  volume = {62},
  ISSN = {1545-2085},
  url = {http://dx.doi.org/10.1146/annurev.psych.093008.100356},
  DOI = {10.1146/annurev.psych.093008.100356},
  number = {1},
  journal = {Annual Review of Psychology},
  publisher = {Annual Reviews},
  author = {Curran,  Patrick J. and Bauer,  Daniel J.},
  year = {2011},
  month = jan,
  pages = {583–619}
}</t>
  </si>
  <si>
    <t>@article{Koo2016,
  title = {A Guideline of Selecting and Reporting Intraclass Correlation Coefficients for Reliability Research},
  volume = {15},
  ISSN = {1556-3707},
  url = {http://dx.doi.org/10.1016/j.jcm.2016.02.012},
  DOI = {10.1016/j.jcm.2016.02.012},
  number = {2},
  journal = {Journal of Chiropractic Medicine},
  publisher = {Elsevier BV},
  author = {Koo,  Terry K. and Li,  Mae Y.},
  year = {2016},
  month = jun,
  pages = {155–163}
}</t>
  </si>
  <si>
    <t xml:space="preserve">@article{stiensmeier1985attributionsstil,
  author = {Stiensmeier, J. and Kammer, D. and Pelster, A. and Niketta, R.},
  title = {{Attributionsstil und Bewertung als Risikofaktoren der Depressiven Reaktion} [Assessment of attributional style and the risk factors of depression]},
  journal = {Diagnostica},
  year = {1985},
  volume = {31},
  number = {4},
  pages = {300--311}
}
</t>
  </si>
  <si>
    <t xml:space="preserve">@incollection{beck1974assessment,
  author = {Beck, A. T. and Beamesderfer, A.},
  title = {{Assessment of Depression: The Depression Inventory}},
  booktitle = {Psychological Measurements in Psychopharmacology. {Modern Problems in Pharmacopsychiatry}},
  editor = {Pichot, P.},
  volume = {7},
  pages = {151--169},
  publisher = {Karger},
  address = {Basel, Switzerland},
  year = {1974}
}
</t>
  </si>
  <si>
    <t xml:space="preserve">@article{Williams2016,
  title = {Self-paced exercise, affective response, and exercise adherence: A preliminary investigation using ecological momentary assessment},
  author = {Williams, David M. and Dunsiger, Shira and Emerson, Jessica A. and Gwaltney, Chad J. and Monti, Peter M. and Miranda, Robert Jr.},
  journal = {Journal of Sport and Exercise Psychology},
  volume = {38},
  number = {3},
  pages = {282--291},
  year = {2016},
  month = jun,
  publisher = {Human Kinetics},
  keywords = {affective valence, ecological momentary assessment, exercise prescription},
DOI = {10.1123/jsep.2015-0232}
}
</t>
  </si>
  <si>
    <t>https://ennosgermancourse-my.sharepoint.com/:b:/r/personal/enno_winkler_spb-ew_de/Documents/A%20Fernstudium%20Kursmaterial/Bachelorarbeit/Info/LIT/williams2016AffectAdherence.pdf?csf=1&amp;web=1&amp;e=loKHhl</t>
  </si>
  <si>
    <t>@article{Rhodes2015,
  title = {Can the Affective Response to Exercise Predict Future Motives and Physical Activity Behavior? A Systematic Review of Published Evidence},
  volume = {49},
  ISSN = {1532-4796},
  url = {http://dx.doi.org/10.1007/s12160-015-9704-5},
  DOI = {10.1007/s12160-015-9704-5},
  number = {5},
  journal = {Annals of Behavioral Medicine},
  publisher = {Oxford University Press (OUP)},
  author = {Rhodes,  Ryan E. and Kates,  Andrew},
  year = {2015},
  month = apr,
  pages = {715–731}
}</t>
  </si>
  <si>
    <t>@article{Stevens2020,
  title = {Affective Determinants of Physical Activity: A Conceptual Framework and Narrative Review},
  volume = {11},
  ISSN = {1664-1078},
  url = {http://dx.doi.org/10.3389/fpsyg.2020.568331},
  DOI = {10.3389/fpsyg.2020.568331},
  journal = {Frontiers in Psychology},
  publisher = {Frontiers Media SA},
  author = {Stevens,  Courtney J. and Baldwin,  Austin S. and Bryan,  Angela D. and Conner,  Mark and Rhodes,  Ryan E. and Williams,  David M.},
  year = {2020},
  month = dec 
}</t>
  </si>
  <si>
    <t>https://ennosgermancourse-my.sharepoint.com/:b:/r/personal/enno_winkler_spb-ew_de/Documents/A%20Fernstudium%20Kursmaterial/Bachelorarbeit/Info/LIT/Affect_PA_conceptualFramework.pdf?csf=1&amp;web=1&amp;e=23HP8T</t>
  </si>
  <si>
    <t>@article{Williams2014,
  title = {Current Emotion Research in Health Behavior Science},
  volume = {6},
  ISSN = {1754-0747},
  url = {http://dx.doi.org/10.1177/1754073914523052},
  DOI = {10.1177/1754073914523052},
  number = {3},
  journal = {Emotion Review},
  publisher = {SAGE Publications},
  author = {Williams,  David M. and Evans,  Daniel R.},
  year = {2014},
  month = jun,
  pages = {277–287}
}</t>
  </si>
  <si>
    <t>@article{Jekauc2015,
  title = {Enjoyment during Exercise Mediates the Effects of an Intervention on Exercise Adherence},
  volume = {06},
  ISSN = {2152-7199},
  url = {http://dx.doi.org/10.4236/psych.2015.61005},
  DOI = {10.4236/psych.2015.61005},
  number = {01},
  journal = {Psychology},
  publisher = {Scientific Research Publishing,  Inc.},
  author = {Jekauc,  Darko},
  year = {2015},
  pages = {48–54}
}</t>
  </si>
  <si>
    <t>@article{Rhodes2009,
  title = {A Review and Meta-Analysis of Affective Judgments and Physical Activity in Adult Populations},
  volume = {38},
  ISSN = {1532-4796},
  url = {http://dx.doi.org/10.1007/s12160-009-9147-y},
  DOI = {10.1007/s12160-009-9147-y},
  number = {3},
  journal = {Annals of Behavioral Medicine},
  publisher = {Oxford University Press (OUP)},
  author = {Rhodes,  Ryan E. and Fiala,  Bonnie and Conner,  Mark},
  year = {2009},
  month = dec,
  pages = {180–204}
}</t>
  </si>
  <si>
    <t xml:space="preserve">@article{McAuley1990,
  title = {Attrition from exercise programs: Attributional and affective perspectives},
  author = {McAuley, Edward and Poag, Kathleen and Gleason, Anne and Wraith, Sarah},
  journal = {Journal of Social Behavior and Personality},
  volume = {5},
  number = {6},
  pages = {591},
  year = {1990},
  url = {https://www.proquest.com/scholarly-journals/attrition-exercise-programs-attributional/docview/1292241156/se-2}
}
</t>
  </si>
  <si>
    <t>@article{Minifee1998,
  title = {An Attributional Perspective on African American Adults’ Exercise Behavior1},
  volume = {28},
  ISSN = {1559-1816},
  url = {http://dx.doi.org/10.1111/j.1559-1816.1998.tb01660.x},
  DOI = {10.1111/j.1559-1816.1998.tb01660.x},
  number = {10},
  journal = {Journal of Applied Social Psychology},
  publisher = {Wiley},
  author = {Minifee,  Marcus and McAuley,  Edward},
  year = {1998},
  month = may,
  pages = {924–936}
}</t>
  </si>
  <si>
    <t>@article{Courneya1996,
  title = {Understanding Intentions to Exercise Following a Structured Exercise Program: An Attributional Perspective1},
  volume = {26},
  ISSN = {1559-1816},
  url = {http://dx.doi.org/10.1111/j.1559-1816.1996.tb02738.x},
  DOI = {10.1111/j.1559-1816.1996.tb02738.x},
  number = {8},
  journal = {Journal of Applied Social Psychology},
  publisher = {Wiley},
  author = {Courneya,  Kerry S. and McAuley,  Edward},
  year = {1996},
  month = apr,
  pages = {670–685}
}</t>
  </si>
  <si>
    <t>@article{Schoeneman1990,
  title = {Attributions for Successful and Unsuccessful Health Behavior Change},
  volume = {11},
  ISSN = {1532-4834},
  url = {http://dx.doi.org/10.1207/s15324834basp1104_5},
  DOI = {10.1207/s15324834basp1104_5},
  number = {4},
  journal = {Basic and Applied Social Psychology},
  publisher = {Informa UK Limited},
  author = {Schoeneman,  Thomas J. and Curry,  Susan},
  year = {1990},
  month = dec,
  pages = {421–431}
}</t>
  </si>
  <si>
    <t>@article{Nickel2013,
  title = {Attributions and self-efficacy for physical activity in multiple sclerosis},
  volume = {19},
  ISSN = {1465-3966},
  url = {http://dx.doi.org/10.1080/13548506.2013.832783},
  DOI = {10.1080/13548506.2013.832783},
  number = {4},
  journal = {Psychology,  Health &amp; Medicine},
  publisher = {Informa UK Limited},
  author = {Nickel,  D. and Spink,  K. and Andersen,  M. and Knox,  K.},
  year = {2013},
  month = sep,
  pages = {433–441}
}</t>
  </si>
  <si>
    <t>@article{Spink2015,
  title = {Perceived success/failure and attributions associated with self-regulatory efficacy to meet physical activity recommendations for women with arthritis},
  volume = {56},
  ISSN = {1541-0331},
  url = {http://dx.doi.org/10.1080/03630242.2015.1118730},
  DOI = {10.1080/03630242.2015.1118730},
  number = {7},
  journal = {Women &amp; Health},
  publisher = {Informa UK Limited},
  author = {Spink,  Kevin S. and Brawley,  Lawrence R. and Gyurcsik,  Nancy C.},
  year = {2015},
  month = dec,
  pages = {767–783}
}</t>
  </si>
  <si>
    <t>@article{Shields2005,
  title = {Where Perception and Reality Differ: Dropping Out Is Not the Same as Failure},
  volume = {28},
  ISSN = {1573-3521},
  url = {http://dx.doi.org/10.1007/s10865-005-9012-9},
  DOI = {10.1007/s10865-005-9012-9},
  number = {5},
  journal = {Journal of Behavioral Medicine},
  publisher = {Springer Science and Business Media LLC},
  author = {Shields,  C. A. and Brawley,  L. R. and Lindover,  T. I.},
  year = {2005},
  month = sep,
  pages = {481–491}
}</t>
  </si>
  <si>
    <t>@article{Emerson2015,
  title = {The Multifaceted Relationship Between Physical Activity and Affect},
  volume = {9},
  ISSN = {1751-9004},
  url = {http://dx.doi.org/10.1111/spc3.12190},
  DOI = {10.1111/spc3.12190},
  number = {8},
  journal = {Social and Personality Psychology Compass},
  publisher = {Wiley},
  author = {Emerson,  Jessica A. and Williams,  David M.},
  year = {2015},
  month = jul,
  pages = {419–433}
}</t>
  </si>
  <si>
    <t>@article{Lee2016,
  title = {The exercise-affect–adherence pathway: An evolutionary perspective},
  volume = {07},
  ISSN = {1664-1078},
  url = {http://dx.doi.org/10.3389/fpsyg.2016.01285},
  DOI = {10.3389/fpsyg.2016.01285},
  journal = {Frontiers in Psychology},
  publisher = {Frontiers Media SA},
  author = {Lee,  Harold H. and Emerson,  Jessica A. and Williams,  David M.},
  year = {2016},
  month = aug 
}</t>
  </si>
  <si>
    <t>@article{Ekkekakis2003,
  title = {Pleasure and displeasure from the body: Perspectives from exercise},
  volume = {17},
  ISSN = {1464-0600},
  url = {http://dx.doi.org/10.1080/02699930302292},
  DOI = {10.1080/02699930302292},
  number = {2},
  journal = {Cognition and Emotion},
  publisher = {Informa UK Limited},
  author = {Ekkekakis,  Panteleimon},
  year = {2003},
  month = jan,
  pages = {213–239}
}</t>
  </si>
  <si>
    <t xml:space="preserve">@incollection{Ekkekakis2005,
  author = {Ekkekakis, Panteleimon},
  title = {Exercise and affect — the study of affective responses to acute exercise: The dual-mode model},
  booktitle = {New approaches to sport and exercise psychology},
  editor = {Stelter, Reinhard and Roessler, Kirsten Kaya},
  publisher = {Meyer \&amp; Meyer Sport},
  address = {Oxford},
  year = {2005},
  pages = {119--146},
  isbn = {1-84126-149-1}
}
</t>
  </si>
  <si>
    <t>@article{Nosek2018,
  title = {The preregistration revolution},
  volume = {115},
  ISSN = {1091-6490},
  url = {http://dx.doi.org/10.1073/pnas.1708274114},
  DOI = {10.1073/pnas.1708274114},
  number = {11},
  journal = {Proceedings of the National Academy of Sciences},
  publisher = {Proceedings of the National Academy of Sciences},
  author = {Nosek,  Brian A. and Ebersole,  Charles R. and DeHaven,  Alexander C. and Mellor,  David T.},
  year = {2018},
  month = mar,
  pages = {2600–2606}
}</t>
  </si>
  <si>
    <t>@article{Aust2012,
  title = {Seriousness checks are useful to improve data validity in online research},
  volume = {45},
  ISSN = {1554-3528},
  url = {http://dx.doi.org/10.3758/s13428-012-0265-2},
  DOI = {10.3758/s13428-012-0265-2},
  number = {2},
  journal = {Behavior Research Methods},
  publisher = {Springer Science and Business Media LLC},
  author = {Aust,  Frederik and Diedenhofen,  Birk and Ullrich,  Sebastian and Musch,  Jochen},
  year = {2012},
  month = oct,
  pages = {527–535}
}</t>
  </si>
  <si>
    <t>@article{Sallis1990,
  title = {Lifetime history of relapse from exercise},
  volume = {15},
  ISSN = {0306-4603},
  url = {http://dx.doi.org/10.1016/0306-4603(90)90059-7},
  DOI = {10.1016/0306-4603(90)90059-7},
  number = {6},
  journal = {Addictive Behaviors},
  publisher = {Elsevier BV},
  author = {Sallis,  JamesF. and Hovell,  MelbourneF. and Hofstetter,  C.Richard and Elder,  JohnP. and Faucher,  Patricia and Spry,  VivienM. and Barrington,  Elizabeth and Hackley,  Mimi},
  year = {1990},
  month = jan,
  pages = {573–579}
}</t>
  </si>
  <si>
    <t>@article{Irvin1999,
  title = {Efficacy of relapse prevention: A meta-analytic review.},
  volume = {67},
  ISSN = {0022-006X},
  url = {http://dx.doi.org/10.1037/0022-006X.67.4.563},
  DOI = {10.1037/0022-006x.67.4.563},
  number = {4},
  journal = {Journal of Consulting and Clinical Psychology},
  publisher = {American Psychological Association (APA)},
  author = {Irvin,  Jennifer E. and Bowers,  Clint A. and Dunn,  Michael E. and Wang,  Morgan C.},
  year = {1999},
  month = aug,
  pages = {563–570}
}</t>
  </si>
  <si>
    <t>@inbook{Witkiewitz2009,
  title = {Relapse prevention for alcohol and drug problems: That was Zen,  this is Tao.},
  ISBN = {9781433804021},
  url = {http://dx.doi.org/10.1037/11855-016},
  DOI = {10.1037/11855-016},
  booktitle = {Addictive behaviors: New readings on etiology,  prevention,  and treatment.},
  publisher = {American Psychological Association},
  author = {Witkiewitz,  Katie and Marlatt,  G. Alan},
  year = {2009},
  pages = {403–427}
}</t>
  </si>
  <si>
    <t xml:space="preserve">@article{Mueller2010,
  author = {Müller, C. and Winter, C. and Rosenbaum, D.},
  title = {{Aktuelle objektive Messverfahren zur Erfassung körperlicher Aktivität im Vergleich zu subjektiven Erhebungsmethoden: Current objective techniques for physical activity assessment in comparison with subjective methods}},
  journal = {{Deutsche Zeitschrift für Sportmedizin}},
  volume = {61},
  number = {1},
  year = {2010},
  pages = {11--18},
  url = {https://www.germanjournalsportsmedicine.com/fileadmin/content/archiv2010/heft01/11_uebersicht_mueller.pdf}
}
</t>
  </si>
  <si>
    <t>ja</t>
  </si>
  <si>
    <t>@article{Vanhees2005,
  title = {How to assess physical activity? How to assess physical fitness?},
  volume = {12},
  ISSN = {1741-8275},
  url = {http://dx.doi.org/10.1097/01.hjr.0000161551.73095.9c},
  DOI = {10.1097/01.hjr.0000161551.73095.9c},
  number = {2},
  journal = {European Journal of Cardiovascular Prevention &amp; Rehabilitation},
  publisher = {Oxford University Press (OUP)},
  author = {Vanhees,  L. and Lefevre,  J. and Philippaerts,  R. and Martens,  M. and Huygens,  W. and Troosters,  T. and Beunen,  G.},
  year = {2005},
  month = apr,
  pages = {102–114}
}</t>
  </si>
  <si>
    <t>@article{Kohl2000,
  title = "Assessment of Physical Activity among Children and Adolescents: A Review and Synthesis",
  volume = {31},
  ISSN = {0091-7435},
  url = {http://dx.doi.org/10.1006/pmed.1999.0542},
  DOI = {10.1006/pmed.1999.0542},
  number = {2},
  journal = {Preventive Medicine},
  publisher = {Elsevier BV},
  author = {Kohl,  Harold W. and Fulton,  Janet E. and Caspersen,  Carl J.},
  year = {2000},
  month = aug,
  pages = {S54–S76}
}</t>
  </si>
  <si>
    <t>@article{McLean2016,
  title = {Quality and acceptability of measures of exercise adherence in musculoskeletal settings: a systematic review},
  ISSN = {1462-0332},
  url = {http://dx.doi.org/10.1093/rheumatology/kew422},
  DOI = {10.1093/rheumatology/kew422},
  journal = {Rheumatology},
  publisher = {Oxford University Press (OUP)},
  author = {McLean,  Sionnadh and Holden,  Melanie A. and Potia,  Tanzila and Gee,  Melanie and Mallett,  Ross and Bhanbhro,  Sadiq and Parsons,  Helen and Haywood,  Kirstie},
  year = {2016},
  month = dec,
  pages = {kew422}
}</t>
  </si>
  <si>
    <t>@article{Duncan2002,
  title = {Staying on Course: The Effects of an Adherence Facilitation Intervention on Home Exercise Participation},
  volume = {17},
  ISSN = {1751-7117},
  url = {http://dx.doi.org/10.1111/j.0889-7204.2002.01229.x},
  DOI = {10.1111/j.0889-7204.2002.01229.x},
  number = {2},
  journal = {Progress in Cardiovascular Nursing},
  publisher = {Wiley},
  author = {Duncan,  Kathleen A. and Pozehl,  Bunny},
  year = {2002},
  month = apr,
  pages = {59–71}
}</t>
  </si>
  <si>
    <t>@article{Nigg2008,
  title = {A Theory of Physical Activity Maintenance},
  volume = {57},
  ISSN = {1464-0597},
  url = {http://dx.doi.org/10.1111/j.1464-0597.2008.00343.x},
  DOI = {10.1111/j.1464-0597.2008.00343.x},
  number = {4},
  journal = {Applied Psychology},
  publisher = {Wiley},
  author = {Nigg,  Claudio R. and Borrelli,  Belinda and Maddock,  Jay and Dishman,  Rod K.},
  year = {2008},
  month = jul,
  pages = {544–560}
}</t>
  </si>
  <si>
    <t xml:space="preserve">@incollection{NationalAcademies2019,
  author = {{National Academies of Sciences, Engineering, and Medicine}},
  title = {Understanding Reproducibility and Replicability},
  booktitle = {Reproducibility and Replicability in Science},
  publisher = {National Academies Press},
  address = {Washington, DC},
  year = {2019},
  chapter = {3},
  url = {https://www.ncbi.nlm.nih.gov/books/NBK547546/},
  note = {Committee on Reproducibility and Replicability in Science}
}
</t>
  </si>
  <si>
    <t>@article{Yang2025,
  title = {The role of affect regulation in health behavior change.},
  ISSN = {0278-6133},
  url = {http://dx.doi.org/10.1037/hea0001507},
  DOI = {10.1037/hea0001507},
  journal = {Health Psychology},
  publisher = {American Psychological Association (APA)},
  author = {Yang,  Michelle Z. and Conner,  Mark and Sheeran,  Paschal},
  year = {2025},
  month = apr 
}</t>
  </si>
  <si>
    <t>@article{Gratz2004,
  title = {Multidimensional Assessment of Emotion Regulation and Dysregulation: Development,  Factor Structure,  and Initial Validation of the Difficulties in Emotion Regulation Scale},
  volume = {26},
  ISSN = {0882-2689},
  url = {http://dx.doi.org/10.1023/B:JOBA.0000007455.08539.94},
  DOI = {10.1023/b:joba.0000007455.08539.94},
  number = {1},
  journal = {Journal of Psychopathology and Behavioral Assessment},
  publisher = {Springer Science and Business Media LLC},
  author = {Gratz,  Kim L. and Roemer,  Lizabeth},
  year = {2004},
  month = mar,
  pages = {41–54}
}</t>
  </si>
  <si>
    <t>@article{Buckholdt2014,
  title = {Emotion Regulation Difficulties and Maladaptive Behaviors: Examination of Deliberate Self-harm,  Disordered Eating,  and Substance Misuse in Two Samples},
  volume = {39},
  ISSN = {1573-2819},
  url = {http://dx.doi.org/10.1007/s10608-014-9655-3},
  DOI = {10.1007/s10608-014-9655-3},
  number = {2},
  journal = {Cognitive Therapy and Research},
  publisher = {Springer Science and Business Media LLC},
  author = {Buckholdt,  Kelly E. and Parra,  Gilbert R. and Anestis,  Michael D. and Lavender,  Jason M. and Jobe-Shields,  Lisa E. and Tull,  Matthew T. and Gratz,  Kim L.},
  year = {2014},
  month = nov,
  pages = {140–152}
}</t>
  </si>
  <si>
    <t>@article{Parfitt2009,
  title = {The Exercise Intensity–Affect Relationship: Evidence and Implications for Exercise Behavior},
  volume = {7},
  ISSN = {1728-869X},
  url = {http://dx.doi.org/10.1016/S1728-869X(09)60021-6},
  DOI = {10.1016/s1728-869x(09)60021-6},
  number = {2},
  journal = {Journal of Exercise Science &amp; Fitness},
  publisher = {Elsevier BV},
  author = {Parfitt,  Gaynor and Hughes,  Sophie},
  year = {2009},
  pages = {S34–S41}
}</t>
  </si>
  <si>
    <t>@article{Forster2020,
  title = {Influence of Affect on Physical Activity: An Integrative Review},
  volume = {30},
  ISSN = {1552-3799},
  url = {http://dx.doi.org/10.1177/1054773820968039},
  DOI = {10.1177/1054773820968039},
  number = {7},
  journal = {Clinical Nursing Research},
  publisher = {SAGE Publications},
  author = {Forster,  Anna K. and Richards,  Elizabeth A. and Foli,  Karen J. and McGowan,  Bethany and Hass,  Zachary and Becker,  Margaret and Miller,  Ann},
  year = {2020},
  month = oct,
  pages = {934–949}
}</t>
  </si>
  <si>
    <t>@article{Warburton2006,
  title = {Health benefits of physical activity: the evidence},
  volume = {174},
  ISSN = {1488-2329},
  url = {http://dx.doi.org/10.1503/cmaj.051351},
  DOI = {10.1503/cmaj.051351},
  number = {6},
  journal = {Canadian Medical Association Journal},
  publisher = {CMA Joule Inc.},
  author = {Warburton,  D. E.R.},
  year = {2006},
  month = mar,
  pages = {801–809}
}</t>
  </si>
  <si>
    <t xml:space="preserve">@article{Neufer2015,
  author = {Neufer, P. Darrell and Bamman, Marcas M. and Muoio, Deborah M. and Bouchard, Claude and Cooper, Dan M. and Goodpaster, Bret H. and Booth, Frank W. and Kohrt, Wendy M. and Gerszten, Robert E. and Mattson, Mark P. and Hepple, Russell T. and Kraus, William E. and Reid, Michael B. and Bodine, Sue C. and Jakicic, John M. and Fleg, Jerome L. and Williams, John P. and Joseph, Lyndon and Evans, Mary and Maruvada, Padma and Rodgers, Mary and Roary, Mary and Boyce, Amanda T. and Drugan, Jonelle K. and Koenig, James I. and Ingraham, Richard H. and Krotoski, Danuta and Garcia-Cazarin, Mary and McGowan, Joan A. and Laughlin, Maren R.},
  title = {Understanding the cellular and molecular mechanisms of physical activity-induced health benefits},
  journal = {Cell Metabolism},
  volume = {22},
  number = {1},
  pages = {4--11},
  year = {2015},
  doi = {10.1016/j.cmet.2015.05.011},
  publisher = {Elsevier},
  issn = {1550-4131},
  url = {https://doi.org/10.1016/j.cmet.2015.05.011}
}
</t>
  </si>
  <si>
    <t xml:space="preserve">@book{Khan2001,
  title = {Physical activity and bone health},
  author = {Khan, Karim and McKay, Heather and Kannus, Pekka and Bailey, Don and Wark, John and Bennell, Kim},
  year = {2001},
  publisher = {Human Kinetics},
  address = {Champaign, IL},
  isbn = {0880119683}
}
</t>
  </si>
  <si>
    <t>@article{Lubans2016,
  title = {Physical activity for cognitive and mental health in youth: A systematic review of mechanisms},
  volume = {138},
  ISSN = {1098-4275},
  url = {http://dx.doi.org/10.1542/peds.2016-1642},
  DOI = {10.1542/peds.2016-1642},
  number = {3},
  journal = {Pediatrics},
  publisher = {American Academy of Pediatrics (AAP)},
  author = {Lubans,  David and Richards,  Justin and Hillman,  Charles and Faulkner,  Guy and Beauchamp,  Mark and Nilsson,  Michael and Kelly,  Paul and Smith,  Jordan and Raine,  Lauren and Biddle,  Stuart},
  year = {2016},
  month = sep 
}</t>
  </si>
  <si>
    <t>@article{McNeill2006,
  title = {Social environment and physical activity: A review of concepts and evidence},
  volume = {63},
  ISSN = {0277-9536},
  url = {http://dx.doi.org/10.1016/j.socscimed.2006.03.012},
  DOI = {10.1016/j.socscimed.2006.03.012},
  number = {4},
  journal = {Social Science &amp; Medicine},
  publisher = {Elsevier BV},
  author = {McNeill,  Lorna Haughton and Kreuter,  Matthew W. and Subramanian,  S.V.},
  year = {2006},
  month = aug,
  pages = {1011–1022}
}</t>
  </si>
  <si>
    <t>@article{Sirois2018,
  title = {Giving in when feeling less good: Procrastination,  action control,  and social temptations},
  volume = {57},
  ISSN = {2044-8309},
  url = {http://dx.doi.org/10.1111/bjso.12243},
  DOI = {10.1111/bjso.12243},
  number = {2},
  journal = {British Journal of Social Psychology},
  publisher = {Wiley},
  author = {Sirois,  Fuschia M. and Giguère,  Benjamin},
  year = {2018},
  month = feb,
  pages = {404–427}
}</t>
  </si>
  <si>
    <t>@article{Shiffman2005,
  title = {Immediate hedonic response to smoking lapses: relationship to smoking relapse,  and effects of nicotine replacement therapy},
  volume = {184},
  ISSN = {1432-2072},
  url = {http://dx.doi.org/10.1007/s00213-005-0175-4},
  DOI = {10.1007/s00213-005-0175-4},
  number = {3–4},
  journal = {Psychopharmacology},
  publisher = {Springer Science and Business Media LLC},
  author = {Shiffman,  Saul and Ferguson,  Stuart G. and Gwaltney,  Chad J.},
  year = {2005},
  month = nov,
  pages = {608–618}
}</t>
  </si>
  <si>
    <t>@article{Svendsen2022,
  title = {Using Intervention Mapping to Develop a Decision Support System–Based Smartphone App (selfBACK) to Support Self-management of Nonspecific Low Back Pain: Development and Usability Study},
  volume = {24},
  ISSN = {1438-8871},
  url = {http://dx.doi.org/10.2196/26555},
  DOI = {10.2196/26555},
  number = {1},
  journal = {Journal of Medical Internet Research},
  publisher = {JMIR Publications Inc.},
  author = {Svendsen,  Malene Jagd and Sandal,  Louise Fleng and Kjær,  Per and Nicholl,  Barbara I and Cooper,  Kay and Mair,  Frances and Hartvigsen,  Jan and Stochkendahl,  Mette Jensen and Søgaard,  Karen and Mork,  Paul Jarle and Rasmussen,  Charlotte},
  year = {2022},
  month = jan,
  pages = {e26555}
}</t>
  </si>
  <si>
    <t>interventionsstudie</t>
  </si>
  <si>
    <t>https://ennosgermancourse-my.sharepoint.com/:b:/r/personal/enno_winkler_spb-ew_de/Documents/Lehre%20%20So%20Se2026/Modul-08-006-0007/Literatur/Svendsen2022selfBACK.pdf?csf=1&amp;web=1&amp;e=cCrbwL</t>
  </si>
  <si>
    <t>Ja</t>
  </si>
  <si>
    <t>@book{Cohen1988,
  author = {Cohen, Jacob},
  title = {Statistical power analysis for the behavioral sciences},
  edition = {2},
  publisher = {Lawrence Erlbaum Associates},
  address = {Hillsdale, NJ},
  year = {1988},
  isbn = {0805802835}
}</t>
  </si>
  <si>
    <t>statistik</t>
  </si>
  <si>
    <t>https://ennosgermancourse-my.sharepoint.com/:b:/r/personal/enno_winkler_spb-ew_de/Documents/Lehre%20%20So%20Se2026/Modul-08-006-0007/Literatur/CohenPower.pdf?csf=1&amp;web=1&amp;e=IJbnrE</t>
  </si>
  <si>
    <t>@book{lott,
  title = {Multiculturalism and Diversity: A Social Psychological Perspective},
  ISBN = {9781444310191},
  url = {http://dx.doi.org/10.1002/9781444310191},
  DOI = {10.1002/9781444310191},
  publisher = {Wiley},
  author = {Lott,  Bernice},
  year = {2009},
  month = aug 
}</t>
  </si>
  <si>
    <t>kultur</t>
  </si>
  <si>
    <t>https://ennosgermancourse-my.sharepoint.com/:b:/r/personal/enno_winkler_spb-ew_de/Documents/Lehre%20%20So%20Se2026/Modul-08-006-0007/Literatur/Multiculturalism%20and%20Diversity%20-%202009%20-%20Lott%20-%20Introduction.pdf?csf=1&amp;web=1&amp;e=gzpTOA</t>
  </si>
  <si>
    <t>https://ennosgermancourse-my.sharepoint.com/:b:/r/personal/enno_winkler_spb-ew_de/Documents/Lehre%20%20So%20Se2026/Modul-08-006-0007/Literatur/Multiculturalism%20and%20Diversity%20-%202009%20-%20Lott%20-%20Culture.pdf?csf=1&amp;web=1&amp;e=1oMdAS</t>
  </si>
  <si>
    <t>@book{Mazziotta2016,
  title = {Interkulturelle Trainings},
  ISBN = {9783658128739},
  ISSN = {2197-6716},
  url = {http://dx.doi.org/10.1007/978-3-658-12873-9},
  DOI = {10.1007/978-3-658-12873-9},
  journal = {essentials},
  publisher = {Springer Fachmedien Wiesbaden},
  author = {Mazziotta,  Agostino and Piper,  Verena and Rohmann,  Anette},
  year = {2016}
}</t>
  </si>
  <si>
    <t>@book{Kinast2010,
  editor = {Kinast, Eva-Ulrike and Schroll-Machl, Sylvia},
  title = {Handbook of intercultural communication and cooperation: Volume 1: Basics and areas of application},
  edition = {2},
  publisher = {Vandenhoeck \&amp; Ruprecht},
  address = {Göttingen},
  year = {2010},
  isbn = {9783666403279}
}</t>
  </si>
  <si>
    <t>@incollection{Bolten2006,
  author = {Bolten, Jürgen},
  title = {{Interkultureller Trainingsbedarf aus der Perspektive der Problemerfahrungen entsandter Führungskräfte}},
  booktitle = {{Interkulturelles Lernen/Interkulturelles Training}},
  editor = {Götz, Klaus},
  edition = {6},
  pages = {57--76},
  publisher = {Rainer Hampp Verlag},
  address = {Mering},
  year = {2006}
}</t>
  </si>
  <si>
    <t>@article{Hofstede1980,
  title = {Culture and Organizations},
  volume = {10},
  ISSN = {1558-0911},
  url = {http://dx.doi.org/10.1080/00208825.1980.11656300},
  DOI = {10.1080/00208825.1980.11656300},
  number = {4},
  journal = {International Studies of Management &amp; Organization},
  publisher = {Informa UK Limited},
  author = {Hofstede,  Geert},
  year = {1980},
  month = dec,
  pages = {15–41}
}</t>
  </si>
  <si>
    <t>@article{Hofstede2001,
  title = {Culture’s Recent Consequences: Using Dimension Scores in Theory and Research},
  volume = {1},
  ISSN = {1741-2838},
  url = {http://dx.doi.org/10.1177/147059580111002},
  DOI = {10.1177/147059580111002},
  number = {1},
  journal = {International Journal of Cross Cultural Management},
  publisher = {SAGE Publications},
  author = {Hofstede,  Geert},
  year = {2001},
  month = apr,
  pages = {11–17}
}</t>
  </si>
  <si>
    <t>@article{Minkov2017,
  title = {A revision of Hofstede’s model of national culture: old evidence and new data from 56 countries},
  volume = {25},
  ISSN = {2059-5794},
  url = {http://dx.doi.org/10.1108/CCSM-03-2017-0033},
  DOI = {10.1108/ccsm-03-2017-0033},
  number = {2},
  journal = {Cross Cultural &amp; Strategic Management},
  publisher = {Emerald},
  author = {Minkov,  Michael},
  year = {2017},
  month = sep,
  pages = {231–256}
}</t>
  </si>
  <si>
    <t>https://ennosgermancourse-my.sharepoint.com/:b:/r/personal/enno_winkler_spb-ew_de/Documents/Lehre%20%20So%20Se2026/Modul-08-006-0007/Literatur/Revision%20Hofstede.pdf?csf=1&amp;web=1&amp;e=7MaQTc</t>
  </si>
  <si>
    <t>@article{Ridgers2010,
  title = {Reliability and Validity of the System for Observing Children’s Activity and Relationships During Play (SOCARP)},
  volume = {7},
  ISSN = {1543-5474},
  url = {http://dx.doi.org/10.1123/jpah.7.1.17},
  DOI = {10.1123/jpah.7.1.17},
  number = {1},
  journal = {Journal of Physical Activity and Health},
  publisher = {Human Kinetics},
  author = {Ridgers,  Nicola D. and Stratton,  Gareth and McKenzie,  Thomas L.},
  year = {2010},
  month = jan,
  pages = {17–25}
}</t>
  </si>
  <si>
    <t>messung</t>
  </si>
  <si>
    <t>@book{hussy2013,
  author = {Walter Hussy and Margrit Schreier and Gerald Echterhoff},
  title = {{Forschungsmethoden in Psychologie und Sozialwissenschaften für Bachelor}},
  edition = {2., überarbeitete},
  publisher = {Springer},
  address = {Berlin, Heidelberg},
  year = {2013},
  isbn = {978-3-642-34361-2},
  doi = {10.1007/978-3-642-34362-9}
}</t>
  </si>
  <si>
    <t>@techreport{stahl2023expertise,
  author = {Stahl, Silvester},
  title = {{Expertise: Migrantensportvereine als Partner der Integrations- und Verbandsarbeit – Impulse für die Praxis}},
  institution = {{Deutscher Olympischer Sportbund e. V. (DOSB)}},
  address = {Frankfurt am Main},
  year = {2023},
  month = {November},
  edition = {2. Fassung},
  note = {Bundesprogramm „Integration durch Sport“, Ressort Diversity},
  url = {https://cdn.dosb.de/Relaunch_2024/Integration/Downloads/IDS_EX_1.PDF}
}</t>
  </si>
  <si>
    <t>@book{Biddle2008,
  author = {Biddle, Stuart J. H. and Mutrie, Nanette},
  title = {Psychology of physical activity: determinants, well-being, and interventions},
  year = {2008},
  edition = {2nd},
  publisher = {Routledge},
  address = {Abingdon, Oxon},
  isbn = {978-0-415-36665-6},
  note = {First published 2001}
}</t>
  </si>
  <si>
    <t>@article{Peres2010,
  title = {Coping Strategies in Chronic Pain},
  volume = {14},
  ISSN = {1534-3081},
  url = {http://dx.doi.org/10.1007/s11916-010-0137-3},
  DOI = {10.1007/s11916-010-0137-3},
  number = {5},
  journal = {Current Pain and Headache Reports},
  publisher = {Springer Science and Business Media LLC},
  author = {Peres,  Mario F. P. and Lucchetti,  Giancarlo},
  year = {2010},
  month = aug,
  pages = {331–338}
}</t>
  </si>
  <si>
    <t>https://ennosgermancourse-my.sharepoint.com/:b:/g/personal/enno_winkler_spb-ew_de/IQDquCxAkp3bQYRg-HAJfFt7AQj1N0o2C44jv87EZavx6MY?e=faR0Rg</t>
  </si>
  <si>
    <t>@article{Hilton2016,
  title = {Mindfulness Meditation for Chronic Pain: Systematic Review and Meta-analysis},
  volume = {51},
  ISSN = {1532-4796},
  url = {http://dx.doi.org/10.1007/s12160-016-9844-2},
  DOI = {10.1007/s12160-016-9844-2},
  number = {2},
  journal = {Annals of Behavioral Medicine},
  publisher = {Oxford University Press (OUP)},
  author = {Hilton,  Lara and Hempel,  Susanne and Ewing,  Brett A. and Apaydin,  Eric and Xenakis,  Lea and Newberry,  Sydne and Colaiaco,  Ben and Maher,  Alicia Ruelaz and Shanman,  Roberta M. and Sorbero,  Melony E. and Maglione,  Margaret A.},
  year = {2016},
  month = sep,
  pages = {199–213}
}</t>
  </si>
  <si>
    <t>@article{Teuber2022,
  title = {Nudging digital physical activity breaks for home studying of university students—A randomized controlled trial during the COVID-19 pandemic with daily activity measures},
  volume = {4},
  ISSN = {2624-9367},
  url = {http://dx.doi.org/10.3389/fspor.2022.1024996},
  DOI = {10.3389/fspor.2022.1024996},
  journal = {Frontiers in Sports and Active Living},
  publisher = {Frontiers Media SA},
  author = {Teuber,  Monika and Leyhr,  Daniel and Moll,  Juliane and Sudeck,  Gorden},
  year = {2022},
  month = nov 
}</t>
  </si>
  <si>
    <t>@article{Gardner2012,
  title = {Making health habitual: the psychology of ‘habit-formation’ and general practice},
  volume = {62},
  ISSN = {1478-5242},
  url = {http://dx.doi.org/10.3399/bjgp12X659466},
  DOI = {10.3399/bjgp12x659466},
  number = {605},
  journal = {British Journal of General Practice},
  publisher = {Royal College of General Practitioners},
  author = {Gardner,  Benjamin and Lally,  Phillippa and Wardle,  Jane},
  year = {2012},
  month = dec,
  pages = {664–666}
}</t>
  </si>
  <si>
    <t>@article{Lally2013,
  title = {Promoting habit formation},
  volume = {7},
  ISSN = {1743-7202},
  url = {http://dx.doi.org/10.1080/17437199.2011.603640},
  DOI = {10.1080/17437199.2011.603640},
  number = {sup1},
  journal = {Health Psychology Review},
  publisher = {Informa UK Limited},
  author = {Lally,  Phillippa and Gardner,  Benjamin},
  year = {2013},
  month = may,
  pages = {S137–S158}
}</t>
  </si>
  <si>
    <t>@article{Fuchs2015,
  title = {{Messung der Bewegungs- und Sportaktivität mit dem BSA-Fragebogen: Eine methodische Zwischenbilanz}},
  volume = {23},
  ISSN = {2190-6289},
  url = {http://dx.doi.org/10.1026/0943-8149/a000137},
  DOI = {10.1026/0943-8149/a000137},
  number = {2},
  journal = {Zeitschrift für Gesundheitspsychologie},
  publisher = {{Hogrefe Publishing Group}},
  author = {Fuchs,  Reinhard and Klaperski,  Sandra and Gerber,  Markus and Seelig,  Harald},
  year = {2015},
  month = jun,
  pages = {60–76}
}</t>
  </si>
  <si>
    <t>@article{Sylvia2014,
  title = {Practical Guide to Measuring Physical Activity},
  volume = {114},
  ISSN = {2212-2672},
  url = {http://dx.doi.org/10.1016/j.jand.2013.09.018},
  DOI = {10.1016/j.jand.2013.09.018},
  number = {2},
  journal = {Journal of the Academy of Nutrition and Dietetics},
  publisher = {Elsevier BV},
  author = {Sylvia,  Louisa G. and Bernstein,  Emily E. and Hubbard,  Jane L. and Keating,  Leigh and Anderson,  Ellen J.},
  year = {2014},
  month = feb,
  pages = {199–208}
}</t>
  </si>
  <si>
    <t>@article{rheinberg1985kombiniertes,
  title = {{Ein kombiniertes Trainingsprogramm zur Förderung der Rechtschreibkompetenz älterer Schüler}},
  author = {Rheinberg, F and Schliep, M},
  journal = {Heilpädagogische Forschung},
  volume = {12},
  number = {3},
  pages = {277--294},
  year = {1985}
}</t>
  </si>
  <si>
    <t>@article{Deci2008,
  title = {Self-determination theory: A macrotheory of human motivation,  development,  and health.},
  volume = {49},
  ISSN = {0708-5591},
  url = {http://dx.doi.org/10.1037/a0012801},
  DOI = {10.1037/a0012801},
  number = {3},
  journal = {Canadian Psychology / Psychologie canadienne},
  publisher = {American Psychological Association (APA)},
  author = {Deci,  Edward L. and Ryan,  Richard M.},
  year = {2008},
  month = aug,
  pages = {182–185}
}</t>
  </si>
  <si>
    <t>@article{Fraser1987,
  title = {Syntheses of educational productivity research},
  volume = {11},
  ISSN = {0883-0355},
  url = {http://dx.doi.org/10.1016/0883-0355(87)90035-8},
  DOI = {10.1016/0883-0355(87)90035-8},
  number = {2},
  journal = {International Journal of Educational Research},
  publisher = {Elsevier BV},
  author = {Fraser,  Barry J. and Walberg,  Herbert J. and Welch,  Wayne W. and Hattie,  John A.},
  year = {1987},
  month = jan,
  pages = {147–252}
}</t>
  </si>
  <si>
    <t>@article{Krug1976,
  author = {Krug, S. and Hanel, J.},
  title = {Evaluating an achievement motivation training program},
  journal = {Zeitschrift für Entwicklungspsychologie und Pädagogische Psychologie},
  volume = {8},
  number = {4},
  pages = {274--287},
  year = {1976}
}</t>
  </si>
  <si>
    <t>@article{Rheinberg1980,
  author = {Rheinberg, Falko and Hendricks, U.},
  title = {{Verbesserte Wahrnehmung eigenen Lernzuwachses. Anlage und Ergebnisse eines Unterrichtsexperiments}},
  journal = {Zeitschrift für Pädagogik},
  volume = {26},
  number = {6},
  pages = {895--906},
  year = {1980}
}</t>
  </si>
  <si>
    <t xml:space="preserve">@book{brandstaetter2009,
  author = {Brandstätter, Veronika and Otto, Jürgen H},
  title = {{Handbuch der Allgemeinen Psychologie - Motivation und Emotion }},
  abstract = {{Der Band bietet eine kompakte Darstellung zentraler Konzepte und Theorien der Motivations- und Emotionspsychologie. F\"uhrende Expertinnen und Experten geben einen Einblick in die Vielfalt der klassischen wie aktuellen motivations- und emotionspsychologischen Forschung. Neben grundlagentheoretisch ausgerichteten Fragestellungen und Methoden gibt der Band Aufschluss \"uber die vielf\"altigen Anwendungsbez\"uge der Motivation- und Emotionspsychologie. Der Band ist in die beiden gro\ssen Bereiche Motivation und Emotion gegliedert. Es werden so zentrale Themen behandelt wie beispielsweise implizite und explizite Motive, Ziele, Motivation und Emotion in Schule und Beruf, spezifische Emotionen, Geschlechtsunterschiede in Emotionen, emotionale Intelligenz, psychobiologische Aspekte. Dieser Band unterscheidet sich von anderen B\"anden durch die integrierte Darstellung der motivations- und emotionspsychologischen Forschung, die bislang meist getrennt behandelt werden. Das Handbuch eignet sich daher hervorragend f\"ur Studierende, Lehrende, Forscher aber auch Praktiker, die sich in knapper und kompetenter Form \"uber diese wichtigen Teilgebiete der Psychologie informieren m\"ochten.}},
  pages = {806},
  publisher = {Hogrefe Verlag GmbH &amp; Co. KG},
  year = {2009},
  isbn = {9783801718459},
  doi = {},
  url = {https://elibrary.hogrefe.com/book/99.110005/9783840918452},
  keywords = {Allgemeine Psychologie},
  keywords = {Emotion},
  keywords = {Gefühle},
  keywords = {Lehrbuch},
  keywords = {Motivation},
  keywords = {Prüfungsliteratur},
  keywords = {Psychologie}
}
</t>
  </si>
  <si>
    <t>@incollection{HagerHasselhorn2000,
  author    = {Hager, Willi and Hasselhorn, Marcus},
  title     = {{Psychologische Interventionsmaßnahmen: Was sollen sie bewirken können?}},
  booktitle = {{Evaluation psychologischer Interventionsmaßnahmen}},
  editor    = {Hager, Willi and Patry, Jean-Luc and Brezing, Hermann},
  year      = {2000},
  pages     = {41--85},
  publisher = {Huber},
  address   = {Bern}
}</t>
  </si>
  <si>
    <t>definition</t>
  </si>
  <si>
    <t>@book{sedlmeier_forschungsmethoden_2018,
 author = {Sedlmeier, Peter and Renkewitz, Frank},
 title = {Forschungsmethoden und Statistik für Psychologen und Sozialwissenschaftler},
 edition = {3., aktualisierte und erweiterte Auflage},
 year = {2018},
 publisher = {Pearson Deutschland GmbH},
 address = {Hallbergmoos},
 isbn = {978-3-86894-321-4}
}</t>
  </si>
  <si>
    <t>@article{PANAS,
  doi = {10.6102/ZIS242},
  url = {http://zis.gesis.org/DoiId/zis242},
  author = {Breyer,  B. and Bluemke,  M.},
  keywords = {Affektivit\"{a}t,  Wohlbefinden,  Gef\"{u}hl,  Emotion},
  language = {de},
  title = {Deutsche Version der Positive and Negative Affect Schedule PANAS (GESIS Panel)},
  journal = {Zusammenstellung sozialwissenschaftlicher Items und Skalen (ZIS)},
  publisher = {ZIS - GESIS Leibniz Institute for the Social Sciences},
  year = {2016},
  copyright = {Nutzungsbedingungen: Alle in ZIS dokumentierten Erhebungsinstrumente d\"{u}rfen kostenfrei f\"{u}r nicht-kommerzielle Forschungszwecke verwendet werden.Bei einem Einsatz f\"{u}r andere Zwecke oder in einer anderen als der hier dokumentierten Form ist das Einverst\"{a}ndnis der Autoren bzw. Autorinnen einzuholen. In allen resultierenden Arbeiten und Publikationen ist die ZIS-Dokumentation als Quelle anzugeben.}
}</t>
  </si>
  <si>
    <t>@article{mcauley_long-term_1993,
 author = {McAuley, Edward and Lox, Curt and Duncan, Terry E.},
 title = {Long-term maintenance of exercise, self-efficacy, and physiological change in older adults},
 journal = {Journal of Gerontology: Psychological Sciences},
 volume = {48},
 number = {4},
 pages = {P218-P224},
 year = {1993},
 publisher = {The Gerontological Society of America}
}</t>
  </si>
  <si>
    <t>@misc{grossheinrich_panas-c-p_2020,
 author = {Großheinrich, N.},
 title = {PANAS-C-P: Parent Version of the Positive and Negative Affect Scale for Children - deutsche Fassung},
 year = {2020},
 publisher = {ZPID (Leibniz-Institut für Psychologie)},
 series = {Open Test Archive},
 address = {Trier},
 doi = {10.23668/psycharchives.4491},
 url = {https://www.testarchiv.eu/de/test/9007913}
}</t>
  </si>
  <si>
    <t>@article{resnick_testing_2000,
 author = {Resnick, B. and Jenkins, L. S.},
 title = {Testing the reliability and validity of the Self-Efficacy for Exercise Scale},
 journal = {Nursing Research},
 volume = {49},
 number = {3},
 pages = {154-159},
 year = {2000}
}</t>
  </si>
  <si>
    <t>@article{laurent_measure_1999,
 author = {Laurent, J. and Catanzaro, S. J. and Joiner, T. E. Jr. and Rudolph, K. D. and Potter, K. I. and Lambert, S. and Osborne, L. and Gathright, T.},
 title = {A measure of positive and negative affect for children: Scale development and preliminary validation},
 journal = {Psychological Assessment},
 volume = {11},
 number = {3},
 pages = {326-338},
 year = {1999},
 doi = {10.1037/1040-3590.11.3.326}
}</t>
  </si>
  <si>
    <t>@article{Wisniewski2019,
  title = {Understanding the quality,  effectiveness and attributes of top-rated smartphone health apps},
  volume = {22},
  ISSN = {1468-960X},
  url = {http://dx.doi.org/10.1136/ebmental-2018-300069},
  DOI = {10.1136/ebmental-2018-300069},
  number = {1},
  journal = {Evidence Based Mental Health},
  publisher = {BMJ},
  author = {Wisniewski,  Hannah and Liu,  Gang and Henson,  Philip and Vaidyam,  Aditya and Hajratalli,  Narissa Karima and Onnela,  Jukka-Pekka and Torous,  John},
  year = {2019},
  month = jan,
  pages = {4–9}
}</t>
  </si>
  <si>
    <t>@article{Lee2018,
  title = {Mobile App-Based Health Promotion Programs: A Systematic Review of the Literature},
  volume = {15},
  ISSN = {1660-4601},
  url = {http://dx.doi.org/10.3390/ijerph15122838},
  DOI = {10.3390/ijerph15122838},
  number = {12},
  journal = {International Journal of Environmental Research and Public Health},
  publisher = {MDPI AG},
  author = {Lee,  Mikyung and Lee,  Hyeonkyeong and Kim,  Youlim and Kim,  Junghee and Cho,  Mikyeong and Jang,  Jaeun and Jang,  Hyoeun},
  year = {2018},
  month = dec,
  pages = {2838}
}</t>
  </si>
  <si>
    <t>@article{Tracy_tale_2007,
  title = {The psychological structure of pride: A tale of two facets.},
  volume = {92},
  ISSN = {0022-3514},
  url = {http://dx.doi.org/10.1037/0022-3514.92.3.506},
  DOI = {10.1037/0022-3514.92.3.506},
  number = {3},
  journal = {Journal of Personality and Social Psychology},
  publisher = {American Psychological Association (APA)},
  author = {Tracy,  Jessica L. and Robins,  Richard W.},
  year = {2007},
  pages = {506–525}
}</t>
  </si>
  <si>
    <t>@misc{DOSB2024,
  author = {{Deutscher Olympischer Sportbund}},
  title = {{Programmstrategie {Integration durch Sport} 2027--2029}},
  year = {2024},
  url = {https://cdn.dosb.de/Relaunch_2024/Integration/Downloads/Programmstrategie_Integration_durch_Sport_2027-2029.pdf},
  note = {Zugriff am 29. April 2026}
}</t>
  </si>
  <si>
    <t>@article{Domin2021,
  title = {Smartphone-Based Interventions for Physical Activity Promotion: Scoping Review of the Evidence Over the Last 10 Years},
  volume = {9},
  ISSN = {2291-5222},
  url = {http://dx.doi.org/10.2196/24308},
  DOI = {10.2196/24308},
  number = {7},
  journal = {JMIR mHealth and uHealth},
  publisher = {JMIR Publications Inc.},
  author = {Domin,  Alex and Spruijt-Metz,  Donna and Theisen,  Daniel and Ouzzahra,  Yacine and V\"{o}gele,  Claus},
  year = {2021},
  month = July,
  pages = {e24308}
}</t>
  </si>
  <si>
    <t>@article{Michie2013,
  author = {Michie, Susan and Richardson, Michelle and Johnston, Marie and Abraham, Charles and Francis, Jill and Hardeman, Wendy and Eccles, Martin P. and Cane, James and Wood, Caroline E.},
  title = {The behavior change technique taxonomy (v1) of 93 hierarchically clustered techniques: building an international consensus for the reporting of behavior change interventions},
  journal = {Annals of Behavioral Medicine},
  volume = {46},
  number = {1},
  pages = {81--95},
  year = {2013},
  doi = {10.1007/s12160-013-9486-6}
}</t>
  </si>
  <si>
    <t xml:space="preserve"> @article{Wu2023,
  title = {Comparative effectiveness of school-based exercise interventions on physical fitness in children and adolescents: a systematic review and network meta-analysis},
  volume = {11},
  ISSN = {2296-2565},
  url = {http://dx.doi.org/10.3389/fpubh.2023.1194779},
  DOI = {10.3389/fpubh.2023.1194779},
  journal = {Frontiers in Public Health},
  publisher = {Frontiers Media SA},
  author = {Wu,  Jin and Yang,  Yuhang and Yu,  Huasen and Li,  Liqiang and Chen,  Yanying and Sun,  Youping},
  year = {2023},
  month = June 
}</t>
  </si>
  <si>
    <t>@article{Kriemler2011,
  title = {Effect of school-based interventions on physical activity and fitness in children and adolescents: a review of reviews and systematic update},
  volume = {45},
  ISSN = {1473-0480},
  url = {http://dx.doi.org/10.1136/bjsports-2011-090186},
  DOI = {10.1136/bjsports-2011-090186},
  number = {11},
  journal = {British Journal of Sports Medicine},
  publisher = {BMJ},
  author = {Kriemler,  S and Meyer,  U and Martin,  E and van Sluijs,  E M F and Andersen,  L B and Martin,  B W},
  year = {2011},
  month = Aug,
  pages = {923–930}
}</t>
  </si>
  <si>
    <t>@article{Malik2013,
  title = {A systematic review of workplace health promotion interventions for increasing physical activity},
  volume = {19},
  ISSN = {2044-8287},
  url = {http://dx.doi.org/10.1111/bjhp.12052},
  DOI = {10.1111/bjhp.12052},
  number = {1},
  journal = {British Journal of Health Psychology},
  publisher = {Wiley},
  author = {Malik,  Sumaira H. and Blake,  Holly and Suggs,  L. Suzanne},
  year = {2013},
  month = July,
  pages = {149–180}
}</t>
  </si>
  <si>
    <t>@article{westdeutsche_zeitung_schockbilder_2018,
 author = {{Westdeutsche Zeitung}},
 title = {Schockbilder schrecken junge Nichtraucher ab},
 journal = {Westdeutsche Zeitung},
 year = {2018},
 date = {2018-05-29},
 url = {https://www.wz.de/ratgeber/gesundheit-und-ernaehrung/schockbilder-schrecken-junge-nichtraucher-ab_aid-25502279},
 note = {Zitiert nach einer Online-Quelle (dpa-Meldung). Die genauen Seitenzahlen sind nicht verfügbar.}
}</t>
  </si>
  <si>
    <t>@article{Wartha2016,
  title = {Entwicklung eines settingspezifischen Gesundheitsf\"{o}rderprogramms durch die Verwendung des Intervention-Mapping-Ansatzes: „Komm mit in das gesunde Boot –  Kindergarten“},
  volume = {11},
  ISSN = {1861-6763},
  url = {http://dx.doi.org/10.1007/s11553-016-0531-8},
  DOI = {10.1007/s11553-016-0531-8},
  number = {2},
  journal = {Pr\"{a}vention und Gesundheitsf\"{o}rderung},
  publisher = {Springer Science and Business Media LLC},
  author = {Wartha,  O. and Kobel,  S. and L\"{a}mmle,  O. and Mosler,  S. and Steinacker,  J M.},
  year = {2016},
  month = Mar,
  pages = {65–72}
}</t>
  </si>
  <si>
    <t>@misc{znl_komm_mit_2025,
 author = {{ZNL TransferZentrum für Neurowissenschaften und Lernen, Universität Ulm}},
 title = {Komm mit in das gesunde Boot: Gesundheitsförderung für Kinder in Krippen, Kindergärten und Grundschulen [Informationsflyer]},
 year = {2025},
 url = {https://www.gesundes-boot.de},
 note = {Das Programm wurde von 2007 bis 2025 von der Baden-Württemberg Stiftung gefördert und wird seit Oktober 2025 von der Techniker Krankenkasse gefördert.}
}</t>
  </si>
  <si>
    <t>Bibtex templates</t>
  </si>
  <si>
    <t xml:space="preserve">To add references manually, use these templates.
If you have a doi, you can add the "doi" field like in the green field below. DON'T add "https://doi.org/" before the DOI, Rmarkdown will write it for you. 
However, most DOI links can be converted into Bibtex easily so you won't have to write them by hand. 
I use doi2bib.org, but any bib generator works. </t>
  </si>
  <si>
    <t xml:space="preserve"> doi = {},</t>
  </si>
  <si>
    <t>Full Template</t>
  </si>
  <si>
    <t>Minimal Template</t>
  </si>
  <si>
    <t>@Article{citekey,
  author = {},
  title = {},
  journal = {},
  year = {},
  volume = {},
  number = {},
  pages = {},
  month = {},
  note = {},
  annote = {}
}</t>
  </si>
  <si>
    <t>@Article{citekey,
  author = {},
  title = {},
  journal = {},
  year = {},
}</t>
  </si>
  <si>
    <t>@Book{citekey,
  author = {},
  title = {},
  publisher = {},
  year = {},
  volume = {},
  number = {},
  series = {},
  address = {},
  edition = {},
  month = {},
  note = {},
  annote = {}
}</t>
  </si>
  <si>
    <t>@Book{citekey,
  author = {},
  title = {},
  publisher = {},
  year = {}
}</t>
  </si>
  <si>
    <t>with authors</t>
  </si>
  <si>
    <t>@Book{citekey,
  editor = {},
  title = {},
  publisher = {},
  year = {},
  volume = {},
  number = {},
  series = {},
  address = {},
  edition = {},
  month = {},
  note = {},
  annote = {}
}</t>
  </si>
  <si>
    <t>@Book{citekey,
  editor = {},
  title = {},
  publisher = {},
  year = {}
}</t>
  </si>
  <si>
    <t>with editors</t>
  </si>
  <si>
    <t>@booklet{citekey,
  title = {},
  author = {},
  howpublished = {},
  address = {},
  month = {},
  year = {},
  note = {},
  annote = {}
}</t>
  </si>
  <si>
    <t>@booklet{citekey,
  title = {}
}</t>
  </si>
  <si>
    <t>without a publisher</t>
  </si>
  <si>
    <t>@Conference{citekey,
  author = {},
  title = {},
  booktitle = {},
  year = {},
  editor = {},
  volume = {},
  number = {},
  series = {},
  pages = {},
  month = {},
  address = {},
  organization = {},
  publisher = {},
  note = {},
  annote = {}
}</t>
  </si>
  <si>
    <t>@Conference{citekey,
  author = {},
  title = {}
}</t>
  </si>
  <si>
    <t>@inbook{citekey,
  author = {},
  title = {},
  chapter = {},
  publisher = {},
  year = {},
  volume = {},
  number = {},
  series = {},
  type = {},
  address = {},
  edition = {},
  month = {},
  pages = {},
  note = {},
  annote = {}
}</t>
  </si>
  <si>
    <t>@inbook{citekey,
  author = {},
  title = {},
  chapter = {},
  publisher = {},
  year = {}
}</t>
  </si>
  <si>
    <t>chapter in a book with authors</t>
  </si>
  <si>
    <t>@incollection{,
  editor = {},
  title = {},
  chapter = {},
  author = {},
  booktitle = {},
  publisher = {},
  year = {},
  volume = {},
  number = {},
  series = {},
  type = {},
  address = {},
  edition = {},
  month = {},
  pages = {},
  note = {},
  annote = {}
}</t>
  </si>
  <si>
    <t>@inbook{citekey,
  editor = {},
  title = {},
  chapter = {},
  publisher = {},
  year = {}
}</t>
  </si>
  <si>
    <t>chapter in a book with editors</t>
  </si>
  <si>
    <t>@incollection{citekey,
  author = {},
  title = {},
  booktitle = {},
  publisher = {},
  year = {},
  editor = {},
  volume = {},
  number = {},
  series = {},
  type = {},
  chapter = {},
  pages = {},
  edition = {},
  month = {},
  address = {},
  note = {},
  annote = {}
}</t>
  </si>
  <si>
    <t>@incollection{citekey,
  author = {},
  title = {},
  booktitle = {}
}</t>
  </si>
  <si>
    <t>@InProceedings{citekey,
  author = {},
  title = {},
  booktitle = {},
  year = {},
  editor = {},
  volume = {},
  number = {},
  series = {},
  pages = {},
  month = {},
  address = {},
  organization = {},
  publisher = {},
  note = {},
  annote = {}
}</t>
  </si>
  <si>
    <t>@InProceedings{citekey,
  author = {},
  title = {}
}</t>
  </si>
  <si>
    <t>@manual{citekey,
  title = {},
  author = {},
  organization = {},
  address = {},
  edition = {},
  month = {},
  year = {},
  note = {},
  annote = {}
}</t>
  </si>
  <si>
    <t>@manual{citekey,
  title = {}
}</t>
  </si>
  <si>
    <t>@mastersthesis{citekey,
  author = {},
  title = {},
  school = {},
  year = {},
  type = {},
  address = {},
  month = {},
  note = {},
  annote = {}
}</t>
  </si>
  <si>
    <t>@mastersthesis{citekey,
  author = {},
  title = {},
  school = {},
  year = {}
}</t>
  </si>
  <si>
    <t>@phdthesis{citekey,
  author = {},
  title = {},
  school = {},
  year = {},
  type = {},
  address = {},
  month = {},
  note = {},
  annote = {}
}</t>
  </si>
  <si>
    <t>@phdthesis{citekey,
  author = {},
  title = {},
  school = {},
  year = {}
}</t>
  </si>
  <si>
    <t>@proceedings{citekey,
  title = {},
  year = {},
  booktitle = {},
  editor = {},
  volume = {},
  number = {},
  series = {},
  address = {},
  month = {},
  organization = {},
  publisher = {},
  note = {},
  annote = {}
}</t>
  </si>
  <si>
    <t>@proceedings{citekey,
  title = {},
  year = {}
}</t>
  </si>
  <si>
    <t>@techreport{citekey,
  author = {},
  title = {},
  institution = {},
  year = {},
  type = {},
  number = {},
  address = {},
  month = {},
  note = {},
  annote = {}
}</t>
  </si>
  <si>
    <t>@techreport{citekey,
  author = {},
  title = {},
  institution = {},
  year = {}
}</t>
  </si>
  <si>
    <t>@online{ULWebsite,
author = {Mammen, Madlen},
title = {Profil der {U}niversität {L}eipzig},
url = {https://www.uni-leipzig.de/universitaet},
year = {2024},
note = {Zugriff am 25.04.2024}
}</t>
  </si>
  <si>
    <t>Website</t>
  </si>
  <si>
    <t>@unpublished{citekey,
  author = {},
  title = {},
  note = {},
  month = {},
  year = {},
  annote = {}
}</t>
  </si>
  <si>
    <t>@unpublished{citekey,
  author = {},
  title = {}
}</t>
  </si>
  <si>
    <t>@misc{citekey,
  author = {},
  title = {},
  howpublished = {},
  month = {},
  year = {},
  note = {},
  annote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</si>
</sst>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 &quot;€&quot;_-;_-@_-"/>
    <numFmt numFmtId="177" formatCode="_-* #,##0\ &quot;€&quot;_-;\-* #,##0\ &quot;€&quot;_-;_-* &quot;-&quot;\ &quot;€&quot;_-;_-@_-"/>
  </numFmts>
  <fonts count="31">
    <font>
      <sz val="11"/>
      <color theme="1"/>
      <name val="Calibri"/>
      <charset val="134"/>
      <scheme val="minor"/>
    </font>
    <font>
      <sz val="24"/>
      <color theme="1"/>
      <name val="Calibri"/>
      <charset val="134"/>
      <scheme val="minor"/>
    </font>
    <font>
      <sz val="11"/>
      <color theme="1"/>
      <name val="Calibri"/>
      <charset val="134"/>
    </font>
    <font>
      <sz val="18"/>
      <color theme="1"/>
      <name val="Calibri"/>
      <charset val="134"/>
      <scheme val="minor"/>
    </font>
    <font>
      <sz val="20"/>
      <color theme="1"/>
      <name val="Calibri"/>
      <charset val="134"/>
      <scheme val="minor"/>
    </font>
    <font>
      <sz val="28"/>
      <color theme="1"/>
      <name val="Calibri"/>
      <charset val="134"/>
      <scheme val="minor"/>
    </font>
    <font>
      <sz val="14"/>
      <color theme="1"/>
      <name val="Calibri"/>
      <charset val="134"/>
      <scheme val="minor"/>
    </font>
    <font>
      <sz val="26"/>
      <color theme="1"/>
      <name val="Calibri"/>
      <charset val="134"/>
      <scheme val="minor"/>
    </font>
    <font>
      <u/>
      <sz val="11"/>
      <color rgb="FF800080"/>
      <name val="Calibri"/>
      <charset val="0"/>
      <scheme val="minor"/>
    </font>
    <font>
      <u/>
      <sz val="11"/>
      <color rgb="FF0000FF"/>
      <name val="Calibri"/>
      <charset val="0"/>
      <scheme val="minor"/>
    </font>
    <font>
      <sz val="11"/>
      <name val="Calibri"/>
      <charset val="0"/>
      <scheme val="minor"/>
    </font>
    <font>
      <u/>
      <sz val="11"/>
      <color theme="10"/>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name val="Calibri"/>
      <charset val="0"/>
      <scheme val="minor"/>
    </font>
    <font>
      <sz val="10"/>
      <name val="SimSun"/>
      <charset val="134"/>
    </font>
  </fonts>
  <fills count="35">
    <fill>
      <patternFill patternType="none"/>
    </fill>
    <fill>
      <patternFill patternType="gray125"/>
    </fill>
    <fill>
      <patternFill patternType="solid">
        <fgColor theme="4" tint="0.599993896298105"/>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9" tint="0.799920651875362"/>
        <bgColor indexed="64"/>
      </patternFill>
    </fill>
    <fill>
      <patternFill patternType="solid">
        <fgColor rgb="FFF7EE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7"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8" borderId="4" applyNumberFormat="0" applyAlignment="0" applyProtection="0">
      <alignment vertical="center"/>
    </xf>
    <xf numFmtId="0" fontId="19" fillId="9" borderId="5" applyNumberFormat="0" applyAlignment="0" applyProtection="0">
      <alignment vertical="center"/>
    </xf>
    <xf numFmtId="0" fontId="20" fillId="9" borderId="4" applyNumberFormat="0" applyAlignment="0" applyProtection="0">
      <alignment vertical="center"/>
    </xf>
    <xf numFmtId="0" fontId="21" fillId="10"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4" borderId="0" applyNumberFormat="0" applyBorder="0" applyAlignment="0" applyProtection="0">
      <alignment vertical="center"/>
    </xf>
    <xf numFmtId="0" fontId="28" fillId="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49">
    <xf numFmtId="0" fontId="0" fillId="0" borderId="0" xfId="0"/>
    <xf numFmtId="0" fontId="1" fillId="2" borderId="0" xfId="0" applyFont="1" applyFill="1" applyAlignment="1">
      <alignment horizontal="center"/>
    </xf>
    <xf numFmtId="0" fontId="2" fillId="2" borderId="0" xfId="0" applyFont="1" applyFill="1" applyAlignment="1">
      <alignment horizontal="left" wrapText="1"/>
    </xf>
    <xf numFmtId="0" fontId="2" fillId="2" borderId="0" xfId="0" applyFont="1" applyFill="1" applyAlignment="1">
      <alignment horizontal="left"/>
    </xf>
    <xf numFmtId="0" fontId="2" fillId="3" borderId="0" xfId="0" applyFont="1" applyFill="1" applyAlignment="1">
      <alignment horizontal="left"/>
    </xf>
    <xf numFmtId="0" fontId="2" fillId="0" borderId="0" xfId="0" applyFont="1" applyAlignment="1">
      <alignment wrapText="1"/>
    </xf>
    <xf numFmtId="49" fontId="2" fillId="0" borderId="0" xfId="0" applyNumberFormat="1" applyFont="1"/>
    <xf numFmtId="49" fontId="2" fillId="0" borderId="0" xfId="0" applyNumberFormat="1" applyFont="1" applyAlignment="1">
      <alignment wrapText="1"/>
    </xf>
    <xf numFmtId="0" fontId="0" fillId="0" borderId="0" xfId="0" applyAlignment="1">
      <alignment wrapText="1"/>
    </xf>
    <xf numFmtId="49" fontId="0" fillId="0" borderId="0" xfId="0" applyNumberFormat="1"/>
    <xf numFmtId="49" fontId="3" fillId="0" borderId="0" xfId="0" applyNumberFormat="1" applyFont="1" applyAlignment="1">
      <alignment vertical="top" wrapText="1"/>
    </xf>
    <xf numFmtId="49" fontId="4" fillId="4" borderId="0" xfId="0" applyNumberFormat="1" applyFont="1" applyFill="1"/>
    <xf numFmtId="0" fontId="3" fillId="4" borderId="0" xfId="0" applyFont="1" applyFill="1"/>
    <xf numFmtId="0" fontId="5" fillId="4" borderId="0" xfId="0" applyFont="1" applyFill="1"/>
    <xf numFmtId="0" fontId="6" fillId="4" borderId="0" xfId="0" applyFont="1" applyFill="1" applyAlignment="1">
      <alignment wrapText="1"/>
    </xf>
    <xf numFmtId="58" fontId="3" fillId="4" borderId="0" xfId="0" applyNumberFormat="1" applyFont="1" applyFill="1"/>
    <xf numFmtId="49" fontId="7" fillId="4" borderId="0" xfId="0" applyNumberFormat="1" applyFont="1" applyFill="1" applyAlignment="1">
      <alignment vertical="top" wrapText="1"/>
    </xf>
    <xf numFmtId="0" fontId="3" fillId="4" borderId="0" xfId="0" applyFont="1" applyFill="1" applyAlignment="1">
      <alignment wrapText="1"/>
    </xf>
    <xf numFmtId="49" fontId="3" fillId="4" borderId="0" xfId="0" applyNumberFormat="1" applyFont="1" applyFill="1"/>
    <xf numFmtId="49" fontId="2" fillId="0" borderId="0" xfId="0" applyNumberFormat="1" applyFont="1" applyAlignment="1">
      <alignment vertical="top" wrapText="1"/>
    </xf>
    <xf numFmtId="0" fontId="4" fillId="3" borderId="0" xfId="0" applyFont="1" applyFill="1"/>
    <xf numFmtId="0" fontId="3" fillId="3" borderId="0" xfId="0" applyFont="1" applyFill="1"/>
    <xf numFmtId="0" fontId="5" fillId="3" borderId="0" xfId="0" applyFont="1" applyFill="1"/>
    <xf numFmtId="0" fontId="6" fillId="3" borderId="0" xfId="0" applyFont="1" applyFill="1" applyAlignment="1">
      <alignment wrapText="1"/>
    </xf>
    <xf numFmtId="0" fontId="2" fillId="3" borderId="0" xfId="0" applyFont="1" applyFill="1"/>
    <xf numFmtId="58" fontId="2" fillId="3" borderId="0" xfId="0" applyNumberFormat="1" applyFont="1" applyFill="1"/>
    <xf numFmtId="49" fontId="7" fillId="0" borderId="0" xfId="0" applyNumberFormat="1" applyFont="1" applyAlignment="1">
      <alignment vertical="top" wrapText="1"/>
    </xf>
    <xf numFmtId="0" fontId="8" fillId="0" borderId="0" xfId="6" applyFont="1" applyAlignment="1">
      <alignment wrapText="1"/>
    </xf>
    <xf numFmtId="49" fontId="9" fillId="0" borderId="0" xfId="6" applyNumberFormat="1" applyAlignment="1"/>
    <xf numFmtId="0" fontId="9" fillId="0" borderId="0" xfId="6" applyAlignment="1">
      <alignment wrapText="1"/>
    </xf>
    <xf numFmtId="49" fontId="9" fillId="0" borderId="0" xfId="6" applyNumberFormat="1" applyAlignment="1">
      <alignment vertical="top" wrapText="1"/>
    </xf>
    <xf numFmtId="49" fontId="10" fillId="0" borderId="0" xfId="6" applyNumberFormat="1" applyFont="1" applyAlignment="1">
      <alignment wrapText="1"/>
    </xf>
    <xf numFmtId="0" fontId="4" fillId="5" borderId="0" xfId="0" applyFont="1" applyFill="1"/>
    <xf numFmtId="0" fontId="3" fillId="5" borderId="0" xfId="0" applyFont="1" applyFill="1"/>
    <xf numFmtId="0" fontId="5" fillId="5" borderId="0" xfId="0" applyFont="1" applyFill="1"/>
    <xf numFmtId="0" fontId="6" fillId="5" borderId="0" xfId="0" applyFont="1" applyFill="1" applyAlignment="1">
      <alignment wrapText="1"/>
    </xf>
    <xf numFmtId="0" fontId="2" fillId="5" borderId="0" xfId="0" applyFont="1" applyFill="1"/>
    <xf numFmtId="58" fontId="2" fillId="5" borderId="0" xfId="0" applyNumberFormat="1" applyFont="1" applyFill="1"/>
    <xf numFmtId="0" fontId="11" fillId="0" borderId="0" xfId="6" applyFont="1" applyAlignment="1"/>
    <xf numFmtId="0" fontId="11" fillId="0" borderId="0" xfId="6" applyFont="1" applyAlignment="1">
      <alignment wrapText="1"/>
    </xf>
    <xf numFmtId="49" fontId="2" fillId="0" borderId="0" xfId="0" applyNumberFormat="1" applyFont="1" applyAlignment="1">
      <alignment vertical="top"/>
    </xf>
    <xf numFmtId="49" fontId="11" fillId="0" borderId="0" xfId="6" applyNumberFormat="1" applyFont="1" applyAlignment="1">
      <alignment vertical="top" wrapText="1"/>
    </xf>
    <xf numFmtId="49" fontId="2" fillId="6" borderId="0" xfId="0" applyNumberFormat="1" applyFont="1" applyFill="1" applyAlignment="1">
      <alignment vertical="top" wrapText="1"/>
    </xf>
    <xf numFmtId="0" fontId="4" fillId="6" borderId="0" xfId="0" applyFont="1" applyFill="1"/>
    <xf numFmtId="0" fontId="3" fillId="6" borderId="0" xfId="0" applyFont="1" applyFill="1"/>
    <xf numFmtId="0" fontId="5" fillId="6" borderId="0" xfId="0" applyFont="1" applyFill="1"/>
    <xf numFmtId="0" fontId="6" fillId="6" borderId="0" xfId="0" applyFont="1" applyFill="1" applyAlignment="1">
      <alignment wrapText="1"/>
    </xf>
    <xf numFmtId="0" fontId="2" fillId="6" borderId="0" xfId="0" applyFont="1" applyFill="1"/>
    <xf numFmtId="58" fontId="2" fillId="6" borderId="0" xfId="0" applyNumberFormat="1" applyFont="1" applyFill="1"/>
  </cellXfs>
  <cellStyles count="49">
    <cellStyle name="Normal" xfId="0" builtinId="0"/>
    <cellStyle name="Komma" xfId="1" builtinId="3"/>
    <cellStyle name="Währung" xfId="2" builtinId="4"/>
    <cellStyle name="Prozent" xfId="3" builtinId="5"/>
    <cellStyle name="Komma[0]" xfId="4" builtinId="6"/>
    <cellStyle name="Währung[0]" xfId="5" builtinId="7"/>
    <cellStyle name="Hyperlink" xfId="6" builtinId="8"/>
    <cellStyle name="Besuchter Hyperlink" xfId="7" builtinId="9"/>
    <cellStyle name="Hinweis" xfId="8" builtinId="10"/>
    <cellStyle name="Warnmeldung" xfId="9" builtinId="11"/>
    <cellStyle name="Titel" xfId="10" builtinId="15"/>
    <cellStyle name="CExplanatory Text" xfId="11" builtinId="53"/>
    <cellStyle name="Überschrift 1" xfId="12" builtinId="16"/>
    <cellStyle name="Überschrift 2" xfId="13" builtinId="17"/>
    <cellStyle name="Überschrift 3" xfId="14" builtinId="18"/>
    <cellStyle name="Überschrift 4" xfId="15" builtinId="19"/>
    <cellStyle name="Eingabe" xfId="16" builtinId="20"/>
    <cellStyle name="Ausgabe" xfId="17" builtinId="21"/>
    <cellStyle name="Berechnung" xfId="18" builtinId="22"/>
    <cellStyle name="Zelle überprüfen" xfId="19" builtinId="23"/>
    <cellStyle name="Verknüpfte Zelle" xfId="20" builtinId="24"/>
    <cellStyle name="Gesamt" xfId="21" builtinId="25"/>
    <cellStyle name="Gut" xfId="22" builtinId="26"/>
    <cellStyle name="Schlecht" xfId="23" builtinId="27"/>
    <cellStyle name="Neutral" xfId="24" builtinId="28"/>
    <cellStyle name="Akzent1" xfId="25" builtinId="29"/>
    <cellStyle name="20% - Akzent1" xfId="26" builtinId="30"/>
    <cellStyle name="40% - Akzent1" xfId="27" builtinId="31"/>
    <cellStyle name="60% - Akzent1" xfId="28" builtinId="32"/>
    <cellStyle name="Akzent2" xfId="29" builtinId="33"/>
    <cellStyle name="20% - Akzent2" xfId="30" builtinId="34"/>
    <cellStyle name="40% - Akzent2" xfId="31" builtinId="35"/>
    <cellStyle name="60% - Akzent2" xfId="32" builtinId="36"/>
    <cellStyle name="Akzent3" xfId="33" builtinId="37"/>
    <cellStyle name="20% - Akzent3" xfId="34" builtinId="38"/>
    <cellStyle name="40% - Akzent3" xfId="35" builtinId="39"/>
    <cellStyle name="60% - Akzent3" xfId="36" builtinId="40"/>
    <cellStyle name="Akzent4" xfId="37" builtinId="41"/>
    <cellStyle name="20% - Akzent4" xfId="38" builtinId="42"/>
    <cellStyle name="40% - Akzent4" xfId="39" builtinId="43"/>
    <cellStyle name="60% - Akzent4" xfId="40" builtinId="44"/>
    <cellStyle name="Akzent5" xfId="41" builtinId="45"/>
    <cellStyle name="20% - Akzent5" xfId="42" builtinId="46"/>
    <cellStyle name="40% - Akzent5" xfId="43" builtinId="47"/>
    <cellStyle name="60% - Akzent5" xfId="44" builtinId="48"/>
    <cellStyle name="Akzent6" xfId="45" builtinId="49"/>
    <cellStyle name="20% - Akzent6" xfId="46" builtinId="50"/>
    <cellStyle name="40% - Akzent6" xfId="47" builtinId="51"/>
    <cellStyle name="60% - Akzent6" xfId="48" builtinId="52"/>
  </cellStyles>
  <dxfs count="1">
    <dxf>
      <font>
        <color rgb="FFFF0000"/>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514350</xdr:colOff>
      <xdr:row>0</xdr:row>
      <xdr:rowOff>38100</xdr:rowOff>
    </xdr:from>
    <xdr:to>
      <xdr:col>10</xdr:col>
      <xdr:colOff>962025</xdr:colOff>
      <xdr:row>1</xdr:row>
      <xdr:rowOff>0</xdr:rowOff>
    </xdr:to>
    <xdr:sp>
      <xdr:nvSpPr>
        <xdr:cNvPr id="1025" name="Text Box 1" hidden="1"/>
        <xdr:cNvSpPr txBox="1">
          <a:spLocks noChangeArrowheads="1"/>
        </xdr:cNvSpPr>
      </xdr:nvSpPr>
      <xdr:spPr>
        <a:xfrm>
          <a:off x="22507575" y="38100"/>
          <a:ext cx="1209675" cy="41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ln>
        <a:effectLst/>
        <a:extLst>
          <a:ext uri="{AF507438-7753-43E0-B8FC-AC1667EBCBE1}">
            <a14:hiddenEffects xmlns:a14="http://schemas.microsoft.com/office/drawing/2010/main">
              <a:effectLst>
                <a:outerShdw dist="35921" dir="2700000" algn="ctr" rotWithShape="0">
                  <a:srgbClr val="510000"/>
                </a:outerShdw>
              </a:effectLst>
            </a14:hiddenEffects>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b:/r/personal/enno_winkler_spb-ew_de/Documents/A Fernstudium Kursmaterial/Bachelorarbeit/Info/LIT/Aktiv und gesund.pdf?csf=1&amp;web=1&amp;e=cnifhs" TargetMode="External"/><Relationship Id="rId8" Type="http://schemas.openxmlformats.org/officeDocument/2006/relationships/hyperlink" Target="https://ennosgermancourse-my.sharepoint.com/:b:/r/personal/enno_winkler_spb-ew_de/Documents/Lehre%20%20So%20Se2026/Intervention%20Mapping%20I/Literatur/Planning_Health_Promotion_Programs_An_In.pdf?csf=1&amp;web=1&amp;e=r9DZS6" TargetMode="External"/><Relationship Id="rId7" Type="http://schemas.openxmlformats.org/officeDocument/2006/relationships/hyperlink" Target="https://ennosgermancourse-my.sharepoint.com/:b:/r/personal/enno_winkler_spb-ew_de/Documents/Lehre%20%20So%20Se2026/Modul-08-006-0007/Literatur/Evidence_from_interventions_based_on_the.pdf?csf=1&amp;web=1&amp;e=mG083W" TargetMode="External"/><Relationship Id="rId6" Type="http://schemas.openxmlformats.org/officeDocument/2006/relationships/hyperlink" Target="https://ennosgermancourse-my.sharepoint.com/:b:/r/personal/enno_winkler_spb-ew_de/Documents/Lehre%20%20So%20Se2026/Modul-08-006-0007/Literatur/AMSTARS2012.pdf?csf=1&amp;web=1&amp;e=AtTgOr" TargetMode="External"/><Relationship Id="rId5" Type="http://schemas.openxmlformats.org/officeDocument/2006/relationships/hyperlink" Target="https://ennosgermancourse-my.sharepoint.com/:b:/r/personal/enno_winkler_spb-ew_de/Documents/Lehre%20%20So%20Se2026/Modul-08-006-0007/Literatur/HEJ%20Interventions%20paper.pdf?csf=1&amp;web=1&amp;e=T3v8Lv" TargetMode="External"/><Relationship Id="rId4" Type="http://schemas.openxmlformats.org/officeDocument/2006/relationships/hyperlink" Target="https://ennosgermancourse-my.sharepoint.com/:b:/r/personal/enno_winkler_spb-ew_de/Documents/Lehre%20%20So%20Se2026/Modul-08-006-0007/Literatur/Worldviews%20Ev%20Based%20Nurs%20-%202008%20-%20Kelly%20-%20Systematic%20Review%20of%20Multicomponent%20Interventions%20with%20Overweight%20Middle.pdf?csf=1&amp;web=1&amp;e=GKvKKZ" TargetMode="External"/><Relationship Id="rId35" Type="http://schemas.openxmlformats.org/officeDocument/2006/relationships/hyperlink" Target="https://ennosgermancourse-my.sharepoint.com/:b:/g/personal/enno_winkler_spb-ew_de/IQDquCxAkp3bQYRg-HAJfFt7AQj1N0o2C44jv87EZavx6MY?e=faR0Rg" TargetMode="External"/><Relationship Id="rId34" Type="http://schemas.openxmlformats.org/officeDocument/2006/relationships/hyperlink" Target="https://ennosgermancourse-my.sharepoint.com/:b:/r/personal/enno_winkler_spb-ew_de/Documents/Lehre%20%20So%20Se2026/Modul-08-006-0007/Literatur/Revision%20Hofstede.pdf?csf=1&amp;web=1&amp;e=7MaQTc" TargetMode="External"/><Relationship Id="rId33" Type="http://schemas.openxmlformats.org/officeDocument/2006/relationships/hyperlink" Target="https://ennosgermancourse-my.sharepoint.com/:b:/r/personal/enno_winkler_spb-ew_de/Documents/Lehre%20%20So%20Se2026/Modul-08-006-0007/Literatur/Multiculturalism%20and%20Diversity%20-%202009%20-%20Lott%20-%20Culture.pdf?csf=1&amp;web=1&amp;e=1oMdAS" TargetMode="External"/><Relationship Id="rId32" Type="http://schemas.openxmlformats.org/officeDocument/2006/relationships/hyperlink" Target="https://ennosgermancourse-my.sharepoint.com/:b:/r/personal/enno_winkler_spb-ew_de/Documents/Lehre%20%20So%20Se2026/Modul-08-006-0007/Literatur/Multiculturalism%20and%20Diversity%20-%202009%20-%20Lott%20-%20Introduction.pdf?csf=1&amp;web=1&amp;e=gzpTOA" TargetMode="External"/><Relationship Id="rId31" Type="http://schemas.openxmlformats.org/officeDocument/2006/relationships/hyperlink" Target="https://ennosgermancourse-my.sharepoint.com/:b:/r/personal/enno_winkler_spb-ew_de/Documents/Lehre%20%20So%20Se2026/Modul-08-006-0007/Literatur/CohenPower.pdf?csf=1&amp;web=1&amp;e=IJbnrE" TargetMode="External"/><Relationship Id="rId30" Type="http://schemas.openxmlformats.org/officeDocument/2006/relationships/hyperlink" Target="https://ennosgermancourse-my.sharepoint.com/:b:/r/personal/enno_winkler_spb-ew_de/Documents/Lehre%20%20So%20Se2026/Modul-08-006-0007/Literatur/Svendsen2022selfBACK.pdf?csf=1&amp;web=1&amp;e=cCrbwL" TargetMode="External"/><Relationship Id="rId3" Type="http://schemas.openxmlformats.org/officeDocument/2006/relationships/vmlDrawing" Target="../drawings/vmlDrawing1.vml"/><Relationship Id="rId29" Type="http://schemas.openxmlformats.org/officeDocument/2006/relationships/hyperlink" Target="https://ennosgermancourse-my.sharepoint.com/:b:/r/personal/enno_winkler_spb-ew_de/Documents/Lehre%20%20So%20Se2026/Modul-08-006-0007/Literatur/What%20works%20healthy%20eating%20and%20activity%20community%20based.pdf?csf=1&amp;web=1&amp;e=sCzZfE" TargetMode="External"/><Relationship Id="rId28" Type="http://schemas.openxmlformats.org/officeDocument/2006/relationships/hyperlink" Target="https://ennosgermancourse-my.sharepoint.com/:b:/r/personal/enno_winkler_spb-ew_de/Documents/A%20Fernstudium%20Kursmaterial/Bachelorarbeit/Info/LIT/Determinants%20of%20physical%20activity%20maintenance%20a%20systematic%20review%20and%20meta-analyses.pdf?csf=1&amp;web=1&amp;e=Jjhfg9" TargetMode="External"/><Relationship Id="rId27" Type="http://schemas.openxmlformats.org/officeDocument/2006/relationships/hyperlink" Target="https://ennosgermancourse-my.sharepoint.com/:b:/r/personal/enno_winkler_spb-ew_de/Documents/A%20Fernstudium%20Kursmaterial/Bachelorarbeit/Info/LIT/Affect_PA_conceptualFramework.pdf?csf=1&amp;web=1&amp;e=23HP8T" TargetMode="External"/><Relationship Id="rId26" Type="http://schemas.openxmlformats.org/officeDocument/2006/relationships/hyperlink" Target="https://ennosgermancourse-my.sharepoint.com/:b:/r/personal/enno_winkler_spb-ew_de/Documents/A%20Fernstudium%20Kursmaterial/Bachelorarbeit/Info/LIT/williams2016AffectAdherence.pdf?csf=1&amp;web=1&amp;e=loKHhl" TargetMode="External"/><Relationship Id="rId25" Type="http://schemas.openxmlformats.org/officeDocument/2006/relationships/hyperlink" Target="https://ennosgermancourse-my.sharepoint.com/:b:/g/personal/enno_winkler_spb-ew_de/EdoC3U2nqsFOmwa6Rw91gh4BAiSfT3mOwPBrIJ22u3ZVag?e=NHL8gN" TargetMode="External"/><Relationship Id="rId24" Type="http://schemas.openxmlformats.org/officeDocument/2006/relationships/hyperlink" Target="https://ennosgermancourse-my.sharepoint.com/:b:/g/personal/enno_winkler_spb-ew_de/EdvAe5ifSExLhaatxzEj1eIBakef006lDOwyfJEp-4kH4w?e=g4Oh2D" TargetMode="External"/><Relationship Id="rId23" Type="http://schemas.openxmlformats.org/officeDocument/2006/relationships/hyperlink" Target="https://ennosgermancourse-my.sharepoint.com/:b:/g/personal/enno_winkler_spb-ew_de/EVGoXOaFwPNGuuIT4dYtTP0Bn3_gMq3U94F-j3XpMlFEIg?e=Dgp0Eq" TargetMode="External"/><Relationship Id="rId22" Type="http://schemas.openxmlformats.org/officeDocument/2006/relationships/hyperlink" Target="https://ennosgermancourse-my.sharepoint.com/:b:/g/personal/enno_winkler_spb-ew_de/EQMKoPfQZ-hJmo4lCzT6dugB9IWXdjF6o-NRyqG_bgK-HQ?e=f9LIKl" TargetMode="External"/><Relationship Id="rId21" Type="http://schemas.openxmlformats.org/officeDocument/2006/relationships/hyperlink" Target="https://ennosgermancourse-my.sharepoint.com/:b:/g/personal/enno_winkler_spb-ew_de/EQz0TsXSstJKkYw3F5QQ8noBByLZAN4-s6QmJOBy8AFcwg?e=0wr7S9" TargetMode="External"/><Relationship Id="rId20" Type="http://schemas.openxmlformats.org/officeDocument/2006/relationships/hyperlink" Target="https://ennosgermancourse-my.sharepoint.com/:b:/r/personal/enno_winkler_spb-ew_de/Documents/A%20Fernstudium%20Kursmaterial/Bachelorarbeit/Info/LIT/Depression%20and%20Anxiety%20-%202018%20-%20Morres%20-%20Aerobic%20exercise%20for%20adult%20patients%20with%20major%20depressive%20disorder%20in%20mental.pdf?csf=1&amp;web=1&amp;e=Ov2lg8" TargetMode="External"/><Relationship Id="rId2" Type="http://schemas.openxmlformats.org/officeDocument/2006/relationships/drawing" Target="../drawings/drawing1.xml"/><Relationship Id="rId19" Type="http://schemas.openxmlformats.org/officeDocument/2006/relationships/hyperlink" Target="https://ennosgermancourse-my.sharepoint.com/:b:/r/personal/enno_winkler_spb-ew_de/Documents/A%20Fernstudium%20Kursmaterial/Bachelorarbeit/Info/LIT/Ledochowski_PA_depression.pdf?csf=1&amp;web=1&amp;e=wkbseE" TargetMode="External"/><Relationship Id="rId18" Type="http://schemas.openxmlformats.org/officeDocument/2006/relationships/hyperlink" Target="../../../../../../:b:/r/personal/enno_winkler_spb-ew_de/Documents/A Fernstudium Kursmaterial/Bachelorarbeit/Info/LIT/Attribution Questionnaire.pdf?csf=1&amp;web=1&amp;e=2zOMdl" TargetMode="External"/><Relationship Id="rId17" Type="http://schemas.openxmlformats.org/officeDocument/2006/relationships/hyperlink" Target="../../../../../../:b:/r/personal/enno_winkler_spb-ew_de/Documents/A Fernstudium Kursmaterial/Bachelorarbeit/Info/LIT/00007256-200029030-00003.pdf?csf=1&amp;web=1&amp;e=RdUDtc" TargetMode="External"/><Relationship Id="rId16" Type="http://schemas.openxmlformats.org/officeDocument/2006/relationships/hyperlink" Target="../../../../../../:b:/r/personal/enno_winkler_spb-ew_de/Documents/A Fernstudium Kursmaterial/Bachelorarbeit/Info/LIT/PIIS0140673612610319.pdf?csf=1&amp;web=1&amp;e=veeVmS" TargetMode="External"/><Relationship Id="rId15" Type="http://schemas.openxmlformats.org/officeDocument/2006/relationships/hyperlink" Target="../../../../../../:b:/r/personal/enno_winkler_spb-ew_de/Documents/A Fernstudium Kursmaterial/Bachelorarbeit/Info/LIT/1-s2.0-S0002934304006229-main.pdf?csf=1&amp;web=1&amp;e=gGgROh" TargetMode="External"/><Relationship Id="rId14" Type="http://schemas.openxmlformats.org/officeDocument/2006/relationships/hyperlink" Target="../../../../../../:b:/r/personal/enno_winkler_spb-ew_de/Documents/A Fernstudium Kursmaterial/Bachelorarbeit/Info/LIT/Lancet_burden_Phys_inactiv.pdf?csf=1&amp;web=1&amp;e=BW1gbV" TargetMode="External"/><Relationship Id="rId13" Type="http://schemas.openxmlformats.org/officeDocument/2006/relationships/hyperlink" Target="../../../../../../:b:/r/personal/enno_winkler_spb-ew_de/Documents/A Fernstudium Kursmaterial/Bachelorarbeit/Info/LIT/Exercise Adherence.pdf?csf=1&amp;web=1&amp;e=tPkspJ" TargetMode="External"/><Relationship Id="rId12" Type="http://schemas.openxmlformats.org/officeDocument/2006/relationships/hyperlink" Target="../../../../../../:b:/r/personal/enno_winkler_spb-ew_de/Documents/A Fernstudium Kursmaterial/Bachelorarbeit/Info/LIT/241023Piggin_Definition_PA.pdf?csf=1&amp;web=1&amp;e=InYJdt" TargetMode="External"/><Relationship Id="rId11" Type="http://schemas.openxmlformats.org/officeDocument/2006/relationships/hyperlink" Target="../../../../../../:b:/r/personal/enno_winkler_spb-ew_de/Documents/A Fernstudium Kursmaterial/Bachelorarbeit/Info/LIT/British Journal of Addiction - December 1984 - Marlatt - Relapse Prevention Introduction and Overview of the Model.pdf?csf=1&amp;web=1&amp;e=1bgEat" TargetMode="External"/><Relationship Id="rId10" Type="http://schemas.openxmlformats.org/officeDocument/2006/relationships/hyperlink" Target="../../../../../../:b:/r/personal/enno_winkler_spb-ew_de/Documents/A Fernstudium Kursmaterial/Bachelorarbeit/Info/LIT/Exercise Slips in High-Risk Situations and Activity Patterns in Long-Term Exercisers.pdf?csf=1&amp;web=1&amp;e=geTkBC"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07"/>
  <sheetViews>
    <sheetView zoomScale="55" zoomScaleNormal="55" workbookViewId="0">
      <selection activeCell="N10" sqref="N10"/>
    </sheetView>
  </sheetViews>
  <sheetFormatPr defaultColWidth="11.4285714285714" defaultRowHeight="15"/>
  <cols>
    <col min="1" max="1" width="65.8571428571429" customWidth="1"/>
    <col min="2" max="2" width="31.7142857142857" customWidth="1"/>
    <col min="3" max="3" width="9.85714285714286" customWidth="1"/>
    <col min="4" max="4" width="15.1428571428571" customWidth="1"/>
    <col min="5" max="5" width="32.2857142857143" customWidth="1"/>
    <col min="6" max="6" width="95.4285714285714" customWidth="1"/>
    <col min="8" max="8" width="17.2857142857143" customWidth="1"/>
    <col min="9" max="9" width="30.2857142857143" customWidth="1"/>
    <col min="12" max="12" width="26.8571428571429" customWidth="1"/>
    <col min="13" max="13" width="22.4285714285714" customWidth="1"/>
    <col min="14" max="14" width="12.2857142857143" customWidth="1"/>
    <col min="15" max="15" width="39.7142857142857" customWidth="1"/>
    <col min="16" max="16" width="34.1428571428571" customWidth="1"/>
    <col min="17" max="17" width="65.7142857142857" customWidth="1"/>
    <col min="18" max="18" width="126.285714285714" customWidth="1"/>
  </cols>
  <sheetData>
    <row r="1" ht="36" customHeight="1" spans="1:9">
      <c r="A1" s="42" t="s">
        <v>0</v>
      </c>
      <c r="B1" s="43" t="str">
        <f t="shared" ref="B1:B64" si="0">IFERROR("@"&amp;MID(A1,SEARCH("{",A1)+1,SEARCH(",",A1)-SEARCH("{",A1)-1),"")</f>
        <v>@example2024</v>
      </c>
      <c r="C1" s="44" t="str">
        <f t="shared" ref="C1:C64" si="1">"["&amp;B1&amp;"]"</f>
        <v>[@example2024]</v>
      </c>
      <c r="D1" s="45" t="str">
        <f t="shared" ref="D1:D64" si="2">IFERROR(MID(A1,SEARCH("year = {",A1)+8,4),"")</f>
        <v>2024</v>
      </c>
      <c r="E1" s="45" t="str">
        <f t="shared" ref="E1:E64" si="3">IFERROR(MID(A1,SEARCH("author = {",A1)+10,SEARCH("}",A1,SEARCH("author = {",A1))-SEARCH("author = {",A1)-10),"")</f>
        <v>Doe, Jane</v>
      </c>
      <c r="F1" s="46" t="str">
        <f t="shared" ref="F1:F64" si="4">IFERROR(IF(ISERROR(FIND("title =",A1)),"",MID(A1,FIND("title =",A1)+9,FIND("},",A1,FIND("title =",A1))-FIND("title =",A1)-9)),"")</f>
        <v>A Reference Example</v>
      </c>
      <c r="G1" s="47" t="str">
        <f t="shared" ref="G1:G64" si="5">IFERROR("https://doi.org/"&amp;MID(A1,SEARCH("doi = {",A1)+7,FIND("}",A1,SEARCH("doi = {",A1))-SEARCH("doi = {",A1)-7),"")</f>
        <v/>
      </c>
      <c r="H1" s="48">
        <f ca="1" t="shared" ref="H1:H64" si="6">IF(A1&lt;&gt;"",IF(H1&lt;&gt;"",H1,NOW()),"")</f>
        <v>45488.5525849537</v>
      </c>
      <c r="I1" s="26"/>
    </row>
    <row r="2" ht="36" customHeight="1" spans="1:9">
      <c r="A2" s="42"/>
      <c r="B2" s="43" t="str">
        <f t="shared" si="0"/>
        <v/>
      </c>
      <c r="C2" s="44" t="str">
        <f t="shared" si="1"/>
        <v>[]</v>
      </c>
      <c r="D2" s="45" t="str">
        <f t="shared" si="2"/>
        <v/>
      </c>
      <c r="E2" s="45" t="str">
        <f t="shared" si="3"/>
        <v/>
      </c>
      <c r="F2" s="46" t="str">
        <f t="shared" si="4"/>
        <v/>
      </c>
      <c r="G2" s="47" t="str">
        <f t="shared" si="5"/>
        <v/>
      </c>
      <c r="H2" s="48" t="str">
        <f ca="1" t="shared" si="6"/>
        <v/>
      </c>
      <c r="I2" s="26"/>
    </row>
    <row r="3" ht="36" customHeight="1" spans="1:9">
      <c r="A3" s="42"/>
      <c r="B3" s="43" t="str">
        <f t="shared" si="0"/>
        <v/>
      </c>
      <c r="C3" s="44" t="str">
        <f t="shared" si="1"/>
        <v>[]</v>
      </c>
      <c r="D3" s="45" t="str">
        <f t="shared" si="2"/>
        <v/>
      </c>
      <c r="E3" s="45" t="str">
        <f t="shared" si="3"/>
        <v/>
      </c>
      <c r="F3" s="46" t="str">
        <f t="shared" si="4"/>
        <v/>
      </c>
      <c r="G3" s="47" t="str">
        <f t="shared" si="5"/>
        <v/>
      </c>
      <c r="H3" s="48" t="str">
        <f ca="1" t="shared" si="6"/>
        <v/>
      </c>
      <c r="I3" s="26"/>
    </row>
    <row r="4" ht="36" customHeight="1" spans="1:9">
      <c r="A4" s="42"/>
      <c r="B4" s="43" t="str">
        <f t="shared" si="0"/>
        <v/>
      </c>
      <c r="C4" s="44" t="str">
        <f t="shared" si="1"/>
        <v>[]</v>
      </c>
      <c r="D4" s="45" t="str">
        <f t="shared" si="2"/>
        <v/>
      </c>
      <c r="E4" s="45" t="str">
        <f t="shared" si="3"/>
        <v/>
      </c>
      <c r="F4" s="46" t="str">
        <f t="shared" si="4"/>
        <v/>
      </c>
      <c r="G4" s="47" t="str">
        <f t="shared" si="5"/>
        <v/>
      </c>
      <c r="H4" s="48" t="str">
        <f ca="1" t="shared" si="6"/>
        <v/>
      </c>
      <c r="I4" s="26"/>
    </row>
    <row r="5" ht="36" customHeight="1" spans="1:9">
      <c r="A5" s="42"/>
      <c r="B5" s="43" t="str">
        <f t="shared" si="0"/>
        <v/>
      </c>
      <c r="C5" s="44" t="str">
        <f t="shared" si="1"/>
        <v>[]</v>
      </c>
      <c r="D5" s="45" t="str">
        <f t="shared" si="2"/>
        <v/>
      </c>
      <c r="E5" s="45" t="str">
        <f t="shared" si="3"/>
        <v/>
      </c>
      <c r="F5" s="46" t="str">
        <f t="shared" si="4"/>
        <v/>
      </c>
      <c r="G5" s="47" t="str">
        <f t="shared" si="5"/>
        <v/>
      </c>
      <c r="H5" s="48" t="str">
        <f ca="1" t="shared" si="6"/>
        <v/>
      </c>
      <c r="I5" s="26"/>
    </row>
    <row r="6" ht="36" customHeight="1" spans="1:9">
      <c r="A6" s="42"/>
      <c r="B6" s="43" t="str">
        <f t="shared" si="0"/>
        <v/>
      </c>
      <c r="C6" s="44" t="str">
        <f t="shared" si="1"/>
        <v>[]</v>
      </c>
      <c r="D6" s="45" t="str">
        <f t="shared" si="2"/>
        <v/>
      </c>
      <c r="E6" s="45" t="str">
        <f t="shared" si="3"/>
        <v/>
      </c>
      <c r="F6" s="46" t="str">
        <f t="shared" si="4"/>
        <v/>
      </c>
      <c r="G6" s="47" t="str">
        <f t="shared" si="5"/>
        <v/>
      </c>
      <c r="H6" s="48" t="str">
        <f ca="1" t="shared" si="6"/>
        <v/>
      </c>
      <c r="I6" s="26"/>
    </row>
    <row r="7" ht="36" customHeight="1" spans="1:9">
      <c r="A7" s="42"/>
      <c r="B7" s="43" t="str">
        <f t="shared" si="0"/>
        <v/>
      </c>
      <c r="C7" s="44" t="str">
        <f t="shared" si="1"/>
        <v>[]</v>
      </c>
      <c r="D7" s="45" t="str">
        <f t="shared" si="2"/>
        <v/>
      </c>
      <c r="E7" s="45" t="str">
        <f t="shared" si="3"/>
        <v/>
      </c>
      <c r="F7" s="46" t="str">
        <f t="shared" si="4"/>
        <v/>
      </c>
      <c r="G7" s="47" t="str">
        <f t="shared" si="5"/>
        <v/>
      </c>
      <c r="H7" s="48" t="str">
        <f ca="1" t="shared" si="6"/>
        <v/>
      </c>
      <c r="I7" s="26"/>
    </row>
    <row r="8" ht="36" customHeight="1" spans="1:9">
      <c r="A8" s="42"/>
      <c r="B8" s="43" t="str">
        <f t="shared" si="0"/>
        <v/>
      </c>
      <c r="C8" s="44" t="str">
        <f t="shared" si="1"/>
        <v>[]</v>
      </c>
      <c r="D8" s="45" t="str">
        <f t="shared" si="2"/>
        <v/>
      </c>
      <c r="E8" s="45" t="str">
        <f t="shared" si="3"/>
        <v/>
      </c>
      <c r="F8" s="46" t="str">
        <f t="shared" si="4"/>
        <v/>
      </c>
      <c r="G8" s="47" t="str">
        <f t="shared" si="5"/>
        <v/>
      </c>
      <c r="H8" s="48" t="str">
        <f ca="1" t="shared" si="6"/>
        <v/>
      </c>
      <c r="I8" s="26"/>
    </row>
    <row r="9" ht="36" customHeight="1" spans="1:9">
      <c r="A9" s="42"/>
      <c r="B9" s="43" t="str">
        <f t="shared" si="0"/>
        <v/>
      </c>
      <c r="C9" s="44" t="str">
        <f t="shared" si="1"/>
        <v>[]</v>
      </c>
      <c r="D9" s="45" t="str">
        <f t="shared" si="2"/>
        <v/>
      </c>
      <c r="E9" s="45" t="str">
        <f t="shared" si="3"/>
        <v/>
      </c>
      <c r="F9" s="46" t="str">
        <f t="shared" si="4"/>
        <v/>
      </c>
      <c r="G9" s="47" t="str">
        <f t="shared" si="5"/>
        <v/>
      </c>
      <c r="H9" s="48" t="str">
        <f ca="1" t="shared" si="6"/>
        <v/>
      </c>
      <c r="I9" s="26"/>
    </row>
    <row r="10" ht="36" customHeight="1" spans="1:9">
      <c r="A10" s="42"/>
      <c r="B10" s="43" t="str">
        <f t="shared" si="0"/>
        <v/>
      </c>
      <c r="C10" s="44" t="str">
        <f t="shared" si="1"/>
        <v>[]</v>
      </c>
      <c r="D10" s="45" t="str">
        <f t="shared" si="2"/>
        <v/>
      </c>
      <c r="E10" s="45" t="str">
        <f t="shared" si="3"/>
        <v/>
      </c>
      <c r="F10" s="46" t="str">
        <f t="shared" si="4"/>
        <v/>
      </c>
      <c r="G10" s="47" t="str">
        <f t="shared" si="5"/>
        <v/>
      </c>
      <c r="H10" s="48" t="str">
        <f ca="1" t="shared" si="6"/>
        <v/>
      </c>
      <c r="I10" s="26"/>
    </row>
    <row r="11" ht="36" customHeight="1" spans="1:9">
      <c r="A11" s="42"/>
      <c r="B11" s="43" t="str">
        <f t="shared" si="0"/>
        <v/>
      </c>
      <c r="C11" s="44" t="str">
        <f t="shared" si="1"/>
        <v>[]</v>
      </c>
      <c r="D11" s="45" t="str">
        <f t="shared" si="2"/>
        <v/>
      </c>
      <c r="E11" s="45" t="str">
        <f t="shared" si="3"/>
        <v/>
      </c>
      <c r="F11" s="46" t="str">
        <f t="shared" si="4"/>
        <v/>
      </c>
      <c r="G11" s="47" t="str">
        <f t="shared" si="5"/>
        <v/>
      </c>
      <c r="H11" s="48" t="str">
        <f ca="1" t="shared" si="6"/>
        <v/>
      </c>
      <c r="I11" s="26"/>
    </row>
    <row r="12" ht="36" customHeight="1" spans="1:9">
      <c r="A12" s="42"/>
      <c r="B12" s="43" t="str">
        <f t="shared" si="0"/>
        <v/>
      </c>
      <c r="C12" s="44" t="str">
        <f t="shared" si="1"/>
        <v>[]</v>
      </c>
      <c r="D12" s="45" t="str">
        <f t="shared" si="2"/>
        <v/>
      </c>
      <c r="E12" s="45" t="str">
        <f t="shared" si="3"/>
        <v/>
      </c>
      <c r="F12" s="46" t="str">
        <f t="shared" si="4"/>
        <v/>
      </c>
      <c r="G12" s="47" t="str">
        <f t="shared" si="5"/>
        <v/>
      </c>
      <c r="H12" s="48" t="str">
        <f ca="1" t="shared" si="6"/>
        <v/>
      </c>
      <c r="I12" s="26"/>
    </row>
    <row r="13" ht="36" customHeight="1" spans="1:9">
      <c r="A13" s="42"/>
      <c r="B13" s="43" t="str">
        <f t="shared" si="0"/>
        <v/>
      </c>
      <c r="C13" s="44" t="str">
        <f t="shared" si="1"/>
        <v>[]</v>
      </c>
      <c r="D13" s="45" t="str">
        <f t="shared" si="2"/>
        <v/>
      </c>
      <c r="E13" s="45" t="str">
        <f t="shared" si="3"/>
        <v/>
      </c>
      <c r="F13" s="46" t="str">
        <f t="shared" si="4"/>
        <v/>
      </c>
      <c r="G13" s="47" t="str">
        <f t="shared" si="5"/>
        <v/>
      </c>
      <c r="H13" s="48" t="str">
        <f ca="1" t="shared" si="6"/>
        <v/>
      </c>
      <c r="I13" s="26"/>
    </row>
    <row r="14" ht="36" customHeight="1" spans="1:9">
      <c r="A14" s="42"/>
      <c r="B14" s="43" t="str">
        <f t="shared" si="0"/>
        <v/>
      </c>
      <c r="C14" s="44" t="str">
        <f t="shared" si="1"/>
        <v>[]</v>
      </c>
      <c r="D14" s="45" t="str">
        <f t="shared" si="2"/>
        <v/>
      </c>
      <c r="E14" s="45" t="str">
        <f t="shared" si="3"/>
        <v/>
      </c>
      <c r="F14" s="46" t="str">
        <f t="shared" si="4"/>
        <v/>
      </c>
      <c r="G14" s="47" t="str">
        <f t="shared" si="5"/>
        <v/>
      </c>
      <c r="H14" s="48" t="str">
        <f ca="1" t="shared" si="6"/>
        <v/>
      </c>
      <c r="I14" s="26"/>
    </row>
    <row r="15" ht="36" customHeight="1" spans="1:9">
      <c r="A15" s="42"/>
      <c r="B15" s="43" t="str">
        <f t="shared" si="0"/>
        <v/>
      </c>
      <c r="C15" s="44" t="str">
        <f t="shared" si="1"/>
        <v>[]</v>
      </c>
      <c r="D15" s="45" t="str">
        <f t="shared" si="2"/>
        <v/>
      </c>
      <c r="E15" s="45" t="str">
        <f t="shared" si="3"/>
        <v/>
      </c>
      <c r="F15" s="46" t="str">
        <f t="shared" si="4"/>
        <v/>
      </c>
      <c r="G15" s="47" t="str">
        <f t="shared" si="5"/>
        <v/>
      </c>
      <c r="H15" s="48" t="str">
        <f ca="1" t="shared" si="6"/>
        <v/>
      </c>
      <c r="I15" s="26"/>
    </row>
    <row r="16" ht="36" customHeight="1" spans="1:9">
      <c r="A16" s="42"/>
      <c r="B16" s="43" t="str">
        <f t="shared" si="0"/>
        <v/>
      </c>
      <c r="C16" s="44" t="str">
        <f t="shared" si="1"/>
        <v>[]</v>
      </c>
      <c r="D16" s="45" t="str">
        <f t="shared" si="2"/>
        <v/>
      </c>
      <c r="E16" s="45" t="str">
        <f t="shared" si="3"/>
        <v/>
      </c>
      <c r="F16" s="46" t="str">
        <f t="shared" si="4"/>
        <v/>
      </c>
      <c r="G16" s="47" t="str">
        <f t="shared" si="5"/>
        <v/>
      </c>
      <c r="H16" s="48" t="str">
        <f ca="1" t="shared" si="6"/>
        <v/>
      </c>
      <c r="I16" s="26"/>
    </row>
    <row r="17" ht="36" customHeight="1" spans="1:9">
      <c r="A17" s="42"/>
      <c r="B17" s="43" t="str">
        <f t="shared" si="0"/>
        <v/>
      </c>
      <c r="C17" s="44" t="str">
        <f t="shared" si="1"/>
        <v>[]</v>
      </c>
      <c r="D17" s="45" t="str">
        <f t="shared" si="2"/>
        <v/>
      </c>
      <c r="E17" s="45" t="str">
        <f t="shared" si="3"/>
        <v/>
      </c>
      <c r="F17" s="46" t="str">
        <f t="shared" si="4"/>
        <v/>
      </c>
      <c r="G17" s="47" t="str">
        <f t="shared" si="5"/>
        <v/>
      </c>
      <c r="H17" s="48" t="str">
        <f ca="1" t="shared" si="6"/>
        <v/>
      </c>
      <c r="I17" s="26"/>
    </row>
    <row r="18" ht="36" customHeight="1" spans="1:9">
      <c r="A18" s="42"/>
      <c r="B18" s="43" t="str">
        <f t="shared" si="0"/>
        <v/>
      </c>
      <c r="C18" s="44" t="str">
        <f t="shared" si="1"/>
        <v>[]</v>
      </c>
      <c r="D18" s="45" t="str">
        <f t="shared" si="2"/>
        <v/>
      </c>
      <c r="E18" s="45" t="str">
        <f t="shared" si="3"/>
        <v/>
      </c>
      <c r="F18" s="46" t="str">
        <f t="shared" si="4"/>
        <v/>
      </c>
      <c r="G18" s="47" t="str">
        <f t="shared" si="5"/>
        <v/>
      </c>
      <c r="H18" s="48" t="str">
        <f ca="1" t="shared" si="6"/>
        <v/>
      </c>
      <c r="I18" s="26"/>
    </row>
    <row r="19" ht="36" customHeight="1" spans="1:9">
      <c r="A19" s="42"/>
      <c r="B19" s="43" t="str">
        <f t="shared" si="0"/>
        <v/>
      </c>
      <c r="C19" s="44" t="str">
        <f t="shared" si="1"/>
        <v>[]</v>
      </c>
      <c r="D19" s="45" t="str">
        <f t="shared" si="2"/>
        <v/>
      </c>
      <c r="E19" s="45" t="str">
        <f t="shared" si="3"/>
        <v/>
      </c>
      <c r="F19" s="46" t="str">
        <f t="shared" si="4"/>
        <v/>
      </c>
      <c r="G19" s="47" t="str">
        <f t="shared" si="5"/>
        <v/>
      </c>
      <c r="H19" s="48" t="str">
        <f ca="1" t="shared" si="6"/>
        <v/>
      </c>
      <c r="I19" s="26"/>
    </row>
    <row r="20" ht="36" customHeight="1" spans="1:9">
      <c r="A20" s="42"/>
      <c r="B20" s="43" t="str">
        <f t="shared" si="0"/>
        <v/>
      </c>
      <c r="C20" s="44" t="str">
        <f t="shared" si="1"/>
        <v>[]</v>
      </c>
      <c r="D20" s="45" t="str">
        <f t="shared" si="2"/>
        <v/>
      </c>
      <c r="E20" s="45" t="str">
        <f t="shared" si="3"/>
        <v/>
      </c>
      <c r="F20" s="46" t="str">
        <f t="shared" si="4"/>
        <v/>
      </c>
      <c r="G20" s="47" t="str">
        <f t="shared" si="5"/>
        <v/>
      </c>
      <c r="H20" s="48" t="str">
        <f ca="1" t="shared" si="6"/>
        <v/>
      </c>
      <c r="I20" s="26"/>
    </row>
    <row r="21" ht="36" customHeight="1" spans="1:9">
      <c r="A21" s="42"/>
      <c r="B21" s="43" t="str">
        <f t="shared" si="0"/>
        <v/>
      </c>
      <c r="C21" s="44" t="str">
        <f t="shared" si="1"/>
        <v>[]</v>
      </c>
      <c r="D21" s="45" t="str">
        <f t="shared" si="2"/>
        <v/>
      </c>
      <c r="E21" s="45" t="str">
        <f t="shared" si="3"/>
        <v/>
      </c>
      <c r="F21" s="46" t="str">
        <f t="shared" si="4"/>
        <v/>
      </c>
      <c r="G21" s="47" t="str">
        <f t="shared" si="5"/>
        <v/>
      </c>
      <c r="H21" s="48" t="str">
        <f ca="1" t="shared" si="6"/>
        <v/>
      </c>
      <c r="I21" s="26"/>
    </row>
    <row r="22" ht="36" customHeight="1" spans="1:9">
      <c r="A22" s="42"/>
      <c r="B22" s="43" t="str">
        <f t="shared" si="0"/>
        <v/>
      </c>
      <c r="C22" s="44" t="str">
        <f t="shared" si="1"/>
        <v>[]</v>
      </c>
      <c r="D22" s="45" t="str">
        <f t="shared" si="2"/>
        <v/>
      </c>
      <c r="E22" s="45" t="str">
        <f t="shared" si="3"/>
        <v/>
      </c>
      <c r="F22" s="46" t="str">
        <f t="shared" si="4"/>
        <v/>
      </c>
      <c r="G22" s="47" t="str">
        <f t="shared" si="5"/>
        <v/>
      </c>
      <c r="H22" s="48" t="str">
        <f ca="1" t="shared" si="6"/>
        <v/>
      </c>
      <c r="I22" s="26"/>
    </row>
    <row r="23" ht="36" customHeight="1" spans="1:9">
      <c r="A23" s="42"/>
      <c r="B23" s="43" t="str">
        <f t="shared" si="0"/>
        <v/>
      </c>
      <c r="C23" s="44" t="str">
        <f t="shared" si="1"/>
        <v>[]</v>
      </c>
      <c r="D23" s="45" t="str">
        <f t="shared" si="2"/>
        <v/>
      </c>
      <c r="E23" s="45" t="str">
        <f t="shared" si="3"/>
        <v/>
      </c>
      <c r="F23" s="46" t="str">
        <f t="shared" si="4"/>
        <v/>
      </c>
      <c r="G23" s="47" t="str">
        <f t="shared" si="5"/>
        <v/>
      </c>
      <c r="H23" s="48" t="str">
        <f ca="1" t="shared" si="6"/>
        <v/>
      </c>
      <c r="I23" s="26"/>
    </row>
    <row r="24" ht="36" customHeight="1" spans="1:9">
      <c r="A24" s="42"/>
      <c r="B24" s="43" t="str">
        <f t="shared" si="0"/>
        <v/>
      </c>
      <c r="C24" s="44" t="str">
        <f t="shared" si="1"/>
        <v>[]</v>
      </c>
      <c r="D24" s="45" t="str">
        <f t="shared" si="2"/>
        <v/>
      </c>
      <c r="E24" s="45" t="str">
        <f t="shared" si="3"/>
        <v/>
      </c>
      <c r="F24" s="46" t="str">
        <f t="shared" si="4"/>
        <v/>
      </c>
      <c r="G24" s="47" t="str">
        <f t="shared" si="5"/>
        <v/>
      </c>
      <c r="H24" s="48" t="str">
        <f ca="1" t="shared" si="6"/>
        <v/>
      </c>
      <c r="I24" s="26"/>
    </row>
    <row r="25" ht="36" customHeight="1" spans="1:9">
      <c r="A25" s="42"/>
      <c r="B25" s="43" t="str">
        <f t="shared" si="0"/>
        <v/>
      </c>
      <c r="C25" s="44" t="str">
        <f t="shared" si="1"/>
        <v>[]</v>
      </c>
      <c r="D25" s="45" t="str">
        <f t="shared" si="2"/>
        <v/>
      </c>
      <c r="E25" s="45" t="str">
        <f t="shared" si="3"/>
        <v/>
      </c>
      <c r="F25" s="46" t="str">
        <f t="shared" si="4"/>
        <v/>
      </c>
      <c r="G25" s="47" t="str">
        <f t="shared" si="5"/>
        <v/>
      </c>
      <c r="H25" s="48" t="str">
        <f ca="1" t="shared" si="6"/>
        <v/>
      </c>
      <c r="I25" s="26"/>
    </row>
    <row r="26" ht="36" customHeight="1" spans="1:9">
      <c r="A26" s="42"/>
      <c r="B26" s="43" t="str">
        <f t="shared" si="0"/>
        <v/>
      </c>
      <c r="C26" s="44" t="str">
        <f t="shared" si="1"/>
        <v>[]</v>
      </c>
      <c r="D26" s="45" t="str">
        <f t="shared" si="2"/>
        <v/>
      </c>
      <c r="E26" s="45" t="str">
        <f t="shared" si="3"/>
        <v/>
      </c>
      <c r="F26" s="46" t="str">
        <f t="shared" si="4"/>
        <v/>
      </c>
      <c r="G26" s="47" t="str">
        <f t="shared" si="5"/>
        <v/>
      </c>
      <c r="H26" s="48" t="str">
        <f ca="1" t="shared" si="6"/>
        <v/>
      </c>
      <c r="I26" s="26"/>
    </row>
    <row r="27" ht="36" customHeight="1" spans="1:9">
      <c r="A27" s="42"/>
      <c r="B27" s="43" t="str">
        <f t="shared" si="0"/>
        <v/>
      </c>
      <c r="C27" s="44" t="str">
        <f t="shared" si="1"/>
        <v>[]</v>
      </c>
      <c r="D27" s="45" t="str">
        <f t="shared" si="2"/>
        <v/>
      </c>
      <c r="E27" s="45" t="str">
        <f t="shared" si="3"/>
        <v/>
      </c>
      <c r="F27" s="46" t="str">
        <f t="shared" si="4"/>
        <v/>
      </c>
      <c r="G27" s="47" t="str">
        <f t="shared" si="5"/>
        <v/>
      </c>
      <c r="H27" s="48" t="str">
        <f ca="1" t="shared" si="6"/>
        <v/>
      </c>
      <c r="I27" s="26"/>
    </row>
    <row r="28" ht="36" customHeight="1" spans="1:9">
      <c r="A28" s="42"/>
      <c r="B28" s="43" t="str">
        <f t="shared" si="0"/>
        <v/>
      </c>
      <c r="C28" s="44" t="str">
        <f t="shared" si="1"/>
        <v>[]</v>
      </c>
      <c r="D28" s="45" t="str">
        <f t="shared" si="2"/>
        <v/>
      </c>
      <c r="E28" s="45" t="str">
        <f t="shared" si="3"/>
        <v/>
      </c>
      <c r="F28" s="46" t="str">
        <f t="shared" si="4"/>
        <v/>
      </c>
      <c r="G28" s="47" t="str">
        <f t="shared" si="5"/>
        <v/>
      </c>
      <c r="H28" s="48" t="str">
        <f ca="1" t="shared" si="6"/>
        <v/>
      </c>
      <c r="I28" s="26"/>
    </row>
    <row r="29" ht="36" customHeight="1" spans="1:9">
      <c r="A29" s="42"/>
      <c r="B29" s="43" t="str">
        <f t="shared" si="0"/>
        <v/>
      </c>
      <c r="C29" s="44" t="str">
        <f t="shared" si="1"/>
        <v>[]</v>
      </c>
      <c r="D29" s="45" t="str">
        <f t="shared" si="2"/>
        <v/>
      </c>
      <c r="E29" s="45" t="str">
        <f t="shared" si="3"/>
        <v/>
      </c>
      <c r="F29" s="46" t="str">
        <f t="shared" si="4"/>
        <v/>
      </c>
      <c r="G29" s="47" t="str">
        <f t="shared" si="5"/>
        <v/>
      </c>
      <c r="H29" s="48" t="str">
        <f ca="1" t="shared" si="6"/>
        <v/>
      </c>
      <c r="I29" s="26"/>
    </row>
    <row r="30" ht="36" customHeight="1" spans="1:9">
      <c r="A30" s="42"/>
      <c r="B30" s="43" t="str">
        <f t="shared" si="0"/>
        <v/>
      </c>
      <c r="C30" s="44" t="str">
        <f t="shared" si="1"/>
        <v>[]</v>
      </c>
      <c r="D30" s="45" t="str">
        <f t="shared" si="2"/>
        <v/>
      </c>
      <c r="E30" s="45" t="str">
        <f t="shared" si="3"/>
        <v/>
      </c>
      <c r="F30" s="46" t="str">
        <f t="shared" si="4"/>
        <v/>
      </c>
      <c r="G30" s="47" t="str">
        <f t="shared" si="5"/>
        <v/>
      </c>
      <c r="H30" s="48" t="str">
        <f ca="1" t="shared" si="6"/>
        <v/>
      </c>
      <c r="I30" s="26"/>
    </row>
    <row r="31" ht="36" customHeight="1" spans="1:9">
      <c r="A31" s="42"/>
      <c r="B31" s="43" t="str">
        <f t="shared" si="0"/>
        <v/>
      </c>
      <c r="C31" s="44" t="str">
        <f t="shared" si="1"/>
        <v>[]</v>
      </c>
      <c r="D31" s="45" t="str">
        <f t="shared" si="2"/>
        <v/>
      </c>
      <c r="E31" s="45" t="str">
        <f t="shared" si="3"/>
        <v/>
      </c>
      <c r="F31" s="46" t="str">
        <f t="shared" si="4"/>
        <v/>
      </c>
      <c r="G31" s="47" t="str">
        <f t="shared" si="5"/>
        <v/>
      </c>
      <c r="H31" s="48" t="str">
        <f ca="1" t="shared" si="6"/>
        <v/>
      </c>
      <c r="I31" s="26"/>
    </row>
    <row r="32" ht="36" customHeight="1" spans="1:9">
      <c r="A32" s="42"/>
      <c r="B32" s="43" t="str">
        <f t="shared" si="0"/>
        <v/>
      </c>
      <c r="C32" s="44" t="str">
        <f t="shared" si="1"/>
        <v>[]</v>
      </c>
      <c r="D32" s="45" t="str">
        <f t="shared" si="2"/>
        <v/>
      </c>
      <c r="E32" s="45" t="str">
        <f t="shared" si="3"/>
        <v/>
      </c>
      <c r="F32" s="46" t="str">
        <f t="shared" si="4"/>
        <v/>
      </c>
      <c r="G32" s="47" t="str">
        <f t="shared" si="5"/>
        <v/>
      </c>
      <c r="H32" s="48" t="str">
        <f ca="1" t="shared" si="6"/>
        <v/>
      </c>
      <c r="I32" s="26"/>
    </row>
    <row r="33" ht="36" customHeight="1" spans="1:9">
      <c r="A33" s="42"/>
      <c r="B33" s="43" t="str">
        <f t="shared" si="0"/>
        <v/>
      </c>
      <c r="C33" s="44" t="str">
        <f t="shared" si="1"/>
        <v>[]</v>
      </c>
      <c r="D33" s="45" t="str">
        <f t="shared" si="2"/>
        <v/>
      </c>
      <c r="E33" s="45" t="str">
        <f t="shared" si="3"/>
        <v/>
      </c>
      <c r="F33" s="46" t="str">
        <f t="shared" si="4"/>
        <v/>
      </c>
      <c r="G33" s="47" t="str">
        <f t="shared" si="5"/>
        <v/>
      </c>
      <c r="H33" s="48" t="str">
        <f ca="1" t="shared" si="6"/>
        <v/>
      </c>
      <c r="I33" s="26"/>
    </row>
    <row r="34" ht="36" customHeight="1" spans="1:9">
      <c r="A34" s="42"/>
      <c r="B34" s="43" t="str">
        <f t="shared" si="0"/>
        <v/>
      </c>
      <c r="C34" s="44" t="str">
        <f t="shared" si="1"/>
        <v>[]</v>
      </c>
      <c r="D34" s="45" t="str">
        <f t="shared" si="2"/>
        <v/>
      </c>
      <c r="E34" s="45" t="str">
        <f t="shared" si="3"/>
        <v/>
      </c>
      <c r="F34" s="46" t="str">
        <f t="shared" si="4"/>
        <v/>
      </c>
      <c r="G34" s="47" t="str">
        <f t="shared" si="5"/>
        <v/>
      </c>
      <c r="H34" s="48" t="str">
        <f ca="1" t="shared" si="6"/>
        <v/>
      </c>
      <c r="I34" s="26"/>
    </row>
    <row r="35" ht="36" customHeight="1" spans="1:9">
      <c r="A35" s="42"/>
      <c r="B35" s="43" t="str">
        <f t="shared" si="0"/>
        <v/>
      </c>
      <c r="C35" s="44" t="str">
        <f t="shared" si="1"/>
        <v>[]</v>
      </c>
      <c r="D35" s="45" t="str">
        <f t="shared" si="2"/>
        <v/>
      </c>
      <c r="E35" s="45" t="str">
        <f t="shared" si="3"/>
        <v/>
      </c>
      <c r="F35" s="46" t="str">
        <f t="shared" si="4"/>
        <v/>
      </c>
      <c r="G35" s="47" t="str">
        <f t="shared" si="5"/>
        <v/>
      </c>
      <c r="H35" s="48" t="str">
        <f ca="1" t="shared" si="6"/>
        <v/>
      </c>
      <c r="I35" s="26"/>
    </row>
    <row r="36" ht="36" customHeight="1" spans="1:9">
      <c r="A36" s="42"/>
      <c r="B36" s="43" t="str">
        <f t="shared" si="0"/>
        <v/>
      </c>
      <c r="C36" s="44" t="str">
        <f t="shared" si="1"/>
        <v>[]</v>
      </c>
      <c r="D36" s="45" t="str">
        <f t="shared" si="2"/>
        <v/>
      </c>
      <c r="E36" s="45" t="str">
        <f t="shared" si="3"/>
        <v/>
      </c>
      <c r="F36" s="46" t="str">
        <f t="shared" si="4"/>
        <v/>
      </c>
      <c r="G36" s="47" t="str">
        <f t="shared" si="5"/>
        <v/>
      </c>
      <c r="H36" s="48" t="str">
        <f ca="1" t="shared" si="6"/>
        <v/>
      </c>
      <c r="I36" s="26"/>
    </row>
    <row r="37" ht="36" customHeight="1" spans="1:9">
      <c r="A37" s="42"/>
      <c r="B37" s="43" t="str">
        <f t="shared" si="0"/>
        <v/>
      </c>
      <c r="C37" s="44" t="str">
        <f t="shared" si="1"/>
        <v>[]</v>
      </c>
      <c r="D37" s="45" t="str">
        <f t="shared" si="2"/>
        <v/>
      </c>
      <c r="E37" s="45" t="str">
        <f t="shared" si="3"/>
        <v/>
      </c>
      <c r="F37" s="46" t="str">
        <f t="shared" si="4"/>
        <v/>
      </c>
      <c r="G37" s="47" t="str">
        <f t="shared" si="5"/>
        <v/>
      </c>
      <c r="H37" s="48" t="str">
        <f ca="1" t="shared" si="6"/>
        <v/>
      </c>
      <c r="I37" s="26"/>
    </row>
    <row r="38" ht="36" customHeight="1" spans="1:9">
      <c r="A38" s="42"/>
      <c r="B38" s="43" t="str">
        <f t="shared" si="0"/>
        <v/>
      </c>
      <c r="C38" s="44" t="str">
        <f t="shared" si="1"/>
        <v>[]</v>
      </c>
      <c r="D38" s="45" t="str">
        <f t="shared" si="2"/>
        <v/>
      </c>
      <c r="E38" s="45" t="str">
        <f t="shared" si="3"/>
        <v/>
      </c>
      <c r="F38" s="46" t="str">
        <f t="shared" si="4"/>
        <v/>
      </c>
      <c r="G38" s="47" t="str">
        <f t="shared" si="5"/>
        <v/>
      </c>
      <c r="H38" s="48" t="str">
        <f ca="1" t="shared" si="6"/>
        <v/>
      </c>
      <c r="I38" s="26"/>
    </row>
    <row r="39" ht="36" customHeight="1" spans="1:9">
      <c r="A39" s="42"/>
      <c r="B39" s="43" t="str">
        <f t="shared" si="0"/>
        <v/>
      </c>
      <c r="C39" s="44" t="str">
        <f t="shared" si="1"/>
        <v>[]</v>
      </c>
      <c r="D39" s="45" t="str">
        <f t="shared" si="2"/>
        <v/>
      </c>
      <c r="E39" s="45" t="str">
        <f t="shared" si="3"/>
        <v/>
      </c>
      <c r="F39" s="46" t="str">
        <f t="shared" si="4"/>
        <v/>
      </c>
      <c r="G39" s="47" t="str">
        <f t="shared" si="5"/>
        <v/>
      </c>
      <c r="H39" s="48" t="str">
        <f ca="1" t="shared" si="6"/>
        <v/>
      </c>
      <c r="I39" s="26"/>
    </row>
    <row r="40" ht="36" customHeight="1" spans="1:9">
      <c r="A40" s="42"/>
      <c r="B40" s="43" t="str">
        <f t="shared" si="0"/>
        <v/>
      </c>
      <c r="C40" s="44" t="str">
        <f t="shared" si="1"/>
        <v>[]</v>
      </c>
      <c r="D40" s="45" t="str">
        <f t="shared" si="2"/>
        <v/>
      </c>
      <c r="E40" s="45" t="str">
        <f t="shared" si="3"/>
        <v/>
      </c>
      <c r="F40" s="46" t="str">
        <f t="shared" si="4"/>
        <v/>
      </c>
      <c r="G40" s="47" t="str">
        <f t="shared" si="5"/>
        <v/>
      </c>
      <c r="H40" s="48" t="str">
        <f ca="1" t="shared" si="6"/>
        <v/>
      </c>
      <c r="I40" s="26"/>
    </row>
    <row r="41" ht="36" customHeight="1" spans="1:9">
      <c r="A41" s="42"/>
      <c r="B41" s="43" t="str">
        <f t="shared" si="0"/>
        <v/>
      </c>
      <c r="C41" s="44" t="str">
        <f t="shared" si="1"/>
        <v>[]</v>
      </c>
      <c r="D41" s="45" t="str">
        <f t="shared" si="2"/>
        <v/>
      </c>
      <c r="E41" s="45" t="str">
        <f t="shared" si="3"/>
        <v/>
      </c>
      <c r="F41" s="46" t="str">
        <f t="shared" si="4"/>
        <v/>
      </c>
      <c r="G41" s="47" t="str">
        <f t="shared" si="5"/>
        <v/>
      </c>
      <c r="H41" s="48" t="str">
        <f ca="1" t="shared" si="6"/>
        <v/>
      </c>
      <c r="I41" s="26"/>
    </row>
    <row r="42" ht="36" customHeight="1" spans="1:9">
      <c r="A42" s="42"/>
      <c r="B42" s="43" t="str">
        <f t="shared" si="0"/>
        <v/>
      </c>
      <c r="C42" s="44" t="str">
        <f t="shared" si="1"/>
        <v>[]</v>
      </c>
      <c r="D42" s="45" t="str">
        <f t="shared" si="2"/>
        <v/>
      </c>
      <c r="E42" s="45" t="str">
        <f t="shared" si="3"/>
        <v/>
      </c>
      <c r="F42" s="46" t="str">
        <f t="shared" si="4"/>
        <v/>
      </c>
      <c r="G42" s="47" t="str">
        <f t="shared" si="5"/>
        <v/>
      </c>
      <c r="H42" s="48" t="str">
        <f ca="1" t="shared" si="6"/>
        <v/>
      </c>
      <c r="I42" s="26"/>
    </row>
    <row r="43" ht="36" customHeight="1" spans="1:9">
      <c r="A43" s="42"/>
      <c r="B43" s="43" t="str">
        <f t="shared" si="0"/>
        <v/>
      </c>
      <c r="C43" s="44" t="str">
        <f t="shared" si="1"/>
        <v>[]</v>
      </c>
      <c r="D43" s="45" t="str">
        <f t="shared" si="2"/>
        <v/>
      </c>
      <c r="E43" s="45" t="str">
        <f t="shared" si="3"/>
        <v/>
      </c>
      <c r="F43" s="46" t="str">
        <f t="shared" si="4"/>
        <v/>
      </c>
      <c r="G43" s="47" t="str">
        <f t="shared" si="5"/>
        <v/>
      </c>
      <c r="H43" s="48" t="str">
        <f ca="1" t="shared" si="6"/>
        <v/>
      </c>
      <c r="I43" s="26"/>
    </row>
    <row r="44" ht="36" customHeight="1" spans="1:9">
      <c r="A44" s="42"/>
      <c r="B44" s="43" t="str">
        <f t="shared" si="0"/>
        <v/>
      </c>
      <c r="C44" s="44" t="str">
        <f t="shared" si="1"/>
        <v>[]</v>
      </c>
      <c r="D44" s="45" t="str">
        <f t="shared" si="2"/>
        <v/>
      </c>
      <c r="E44" s="45" t="str">
        <f t="shared" si="3"/>
        <v/>
      </c>
      <c r="F44" s="46" t="str">
        <f t="shared" si="4"/>
        <v/>
      </c>
      <c r="G44" s="47" t="str">
        <f t="shared" si="5"/>
        <v/>
      </c>
      <c r="H44" s="48" t="str">
        <f ca="1" t="shared" si="6"/>
        <v/>
      </c>
      <c r="I44" s="26"/>
    </row>
    <row r="45" ht="36" customHeight="1" spans="1:9">
      <c r="A45" s="42"/>
      <c r="B45" s="43" t="str">
        <f t="shared" si="0"/>
        <v/>
      </c>
      <c r="C45" s="44" t="str">
        <f t="shared" si="1"/>
        <v>[]</v>
      </c>
      <c r="D45" s="45" t="str">
        <f t="shared" si="2"/>
        <v/>
      </c>
      <c r="E45" s="45" t="str">
        <f t="shared" si="3"/>
        <v/>
      </c>
      <c r="F45" s="46" t="str">
        <f t="shared" si="4"/>
        <v/>
      </c>
      <c r="G45" s="47" t="str">
        <f t="shared" si="5"/>
        <v/>
      </c>
      <c r="H45" s="48" t="str">
        <f ca="1" t="shared" si="6"/>
        <v/>
      </c>
      <c r="I45" s="26"/>
    </row>
    <row r="46" ht="36" customHeight="1" spans="1:9">
      <c r="A46" s="42"/>
      <c r="B46" s="43" t="str">
        <f t="shared" si="0"/>
        <v/>
      </c>
      <c r="C46" s="44" t="str">
        <f t="shared" si="1"/>
        <v>[]</v>
      </c>
      <c r="D46" s="45" t="str">
        <f t="shared" si="2"/>
        <v/>
      </c>
      <c r="E46" s="45" t="str">
        <f t="shared" si="3"/>
        <v/>
      </c>
      <c r="F46" s="46" t="str">
        <f t="shared" si="4"/>
        <v/>
      </c>
      <c r="G46" s="47" t="str">
        <f t="shared" si="5"/>
        <v/>
      </c>
      <c r="H46" s="48" t="str">
        <f ca="1" t="shared" si="6"/>
        <v/>
      </c>
      <c r="I46" s="26"/>
    </row>
    <row r="47" ht="36" customHeight="1" spans="1:9">
      <c r="A47" s="42"/>
      <c r="B47" s="43" t="str">
        <f t="shared" si="0"/>
        <v/>
      </c>
      <c r="C47" s="44" t="str">
        <f t="shared" si="1"/>
        <v>[]</v>
      </c>
      <c r="D47" s="45" t="str">
        <f t="shared" si="2"/>
        <v/>
      </c>
      <c r="E47" s="45" t="str">
        <f t="shared" si="3"/>
        <v/>
      </c>
      <c r="F47" s="46" t="str">
        <f t="shared" si="4"/>
        <v/>
      </c>
      <c r="G47" s="47" t="str">
        <f t="shared" si="5"/>
        <v/>
      </c>
      <c r="H47" s="48" t="str">
        <f ca="1" t="shared" si="6"/>
        <v/>
      </c>
      <c r="I47" s="26"/>
    </row>
    <row r="48" ht="36" customHeight="1" spans="1:9">
      <c r="A48" s="42"/>
      <c r="B48" s="43" t="str">
        <f t="shared" si="0"/>
        <v/>
      </c>
      <c r="C48" s="44" t="str">
        <f t="shared" si="1"/>
        <v>[]</v>
      </c>
      <c r="D48" s="45" t="str">
        <f t="shared" si="2"/>
        <v/>
      </c>
      <c r="E48" s="45" t="str">
        <f t="shared" si="3"/>
        <v/>
      </c>
      <c r="F48" s="46" t="str">
        <f t="shared" si="4"/>
        <v/>
      </c>
      <c r="G48" s="47" t="str">
        <f t="shared" si="5"/>
        <v/>
      </c>
      <c r="H48" s="48" t="str">
        <f ca="1" t="shared" si="6"/>
        <v/>
      </c>
      <c r="I48" s="26"/>
    </row>
    <row r="49" ht="36" customHeight="1" spans="1:9">
      <c r="A49" s="42"/>
      <c r="B49" s="43" t="str">
        <f t="shared" si="0"/>
        <v/>
      </c>
      <c r="C49" s="44" t="str">
        <f t="shared" si="1"/>
        <v>[]</v>
      </c>
      <c r="D49" s="45" t="str">
        <f t="shared" si="2"/>
        <v/>
      </c>
      <c r="E49" s="45" t="str">
        <f t="shared" si="3"/>
        <v/>
      </c>
      <c r="F49" s="46" t="str">
        <f t="shared" si="4"/>
        <v/>
      </c>
      <c r="G49" s="47" t="str">
        <f t="shared" si="5"/>
        <v/>
      </c>
      <c r="H49" s="48" t="str">
        <f ca="1" t="shared" si="6"/>
        <v/>
      </c>
      <c r="I49" s="26"/>
    </row>
    <row r="50" ht="36" customHeight="1" spans="1:9">
      <c r="A50" s="42"/>
      <c r="B50" s="43" t="str">
        <f t="shared" si="0"/>
        <v/>
      </c>
      <c r="C50" s="44" t="str">
        <f t="shared" si="1"/>
        <v>[]</v>
      </c>
      <c r="D50" s="45" t="str">
        <f t="shared" si="2"/>
        <v/>
      </c>
      <c r="E50" s="45" t="str">
        <f t="shared" si="3"/>
        <v/>
      </c>
      <c r="F50" s="46" t="str">
        <f t="shared" si="4"/>
        <v/>
      </c>
      <c r="G50" s="47" t="str">
        <f t="shared" si="5"/>
        <v/>
      </c>
      <c r="H50" s="48" t="str">
        <f ca="1" t="shared" si="6"/>
        <v/>
      </c>
      <c r="I50" s="26"/>
    </row>
    <row r="51" ht="36" customHeight="1" spans="1:9">
      <c r="A51" s="42"/>
      <c r="B51" s="43" t="str">
        <f t="shared" si="0"/>
        <v/>
      </c>
      <c r="C51" s="44" t="str">
        <f t="shared" si="1"/>
        <v>[]</v>
      </c>
      <c r="D51" s="45" t="str">
        <f t="shared" si="2"/>
        <v/>
      </c>
      <c r="E51" s="45" t="str">
        <f t="shared" si="3"/>
        <v/>
      </c>
      <c r="F51" s="46" t="str">
        <f t="shared" si="4"/>
        <v/>
      </c>
      <c r="G51" s="47" t="str">
        <f t="shared" si="5"/>
        <v/>
      </c>
      <c r="H51" s="48" t="str">
        <f ca="1" t="shared" si="6"/>
        <v/>
      </c>
      <c r="I51" s="26"/>
    </row>
    <row r="52" ht="36" customHeight="1" spans="1:9">
      <c r="A52" s="42"/>
      <c r="B52" s="43" t="str">
        <f t="shared" si="0"/>
        <v/>
      </c>
      <c r="C52" s="44" t="str">
        <f t="shared" si="1"/>
        <v>[]</v>
      </c>
      <c r="D52" s="45" t="str">
        <f t="shared" si="2"/>
        <v/>
      </c>
      <c r="E52" s="45" t="str">
        <f t="shared" si="3"/>
        <v/>
      </c>
      <c r="F52" s="46" t="str">
        <f t="shared" si="4"/>
        <v/>
      </c>
      <c r="G52" s="47" t="str">
        <f t="shared" si="5"/>
        <v/>
      </c>
      <c r="H52" s="48" t="str">
        <f ca="1" t="shared" si="6"/>
        <v/>
      </c>
      <c r="I52" s="26"/>
    </row>
    <row r="53" ht="36" customHeight="1" spans="1:9">
      <c r="A53" s="42"/>
      <c r="B53" s="43" t="str">
        <f t="shared" si="0"/>
        <v/>
      </c>
      <c r="C53" s="44" t="str">
        <f t="shared" si="1"/>
        <v>[]</v>
      </c>
      <c r="D53" s="45" t="str">
        <f t="shared" si="2"/>
        <v/>
      </c>
      <c r="E53" s="45" t="str">
        <f t="shared" si="3"/>
        <v/>
      </c>
      <c r="F53" s="46" t="str">
        <f t="shared" si="4"/>
        <v/>
      </c>
      <c r="G53" s="47" t="str">
        <f t="shared" si="5"/>
        <v/>
      </c>
      <c r="H53" s="48" t="str">
        <f ca="1" t="shared" si="6"/>
        <v/>
      </c>
      <c r="I53" s="26"/>
    </row>
    <row r="54" ht="36" customHeight="1" spans="1:9">
      <c r="A54" s="42"/>
      <c r="B54" s="43" t="str">
        <f t="shared" si="0"/>
        <v/>
      </c>
      <c r="C54" s="44" t="str">
        <f t="shared" si="1"/>
        <v>[]</v>
      </c>
      <c r="D54" s="45" t="str">
        <f t="shared" si="2"/>
        <v/>
      </c>
      <c r="E54" s="45" t="str">
        <f t="shared" si="3"/>
        <v/>
      </c>
      <c r="F54" s="46" t="str">
        <f t="shared" si="4"/>
        <v/>
      </c>
      <c r="G54" s="47" t="str">
        <f t="shared" si="5"/>
        <v/>
      </c>
      <c r="H54" s="48" t="str">
        <f ca="1" t="shared" si="6"/>
        <v/>
      </c>
      <c r="I54" s="26"/>
    </row>
    <row r="55" ht="36" customHeight="1" spans="1:9">
      <c r="A55" s="42"/>
      <c r="B55" s="43" t="str">
        <f t="shared" si="0"/>
        <v/>
      </c>
      <c r="C55" s="44" t="str">
        <f t="shared" si="1"/>
        <v>[]</v>
      </c>
      <c r="D55" s="45" t="str">
        <f t="shared" si="2"/>
        <v/>
      </c>
      <c r="E55" s="45" t="str">
        <f t="shared" si="3"/>
        <v/>
      </c>
      <c r="F55" s="46" t="str">
        <f t="shared" si="4"/>
        <v/>
      </c>
      <c r="G55" s="47" t="str">
        <f t="shared" si="5"/>
        <v/>
      </c>
      <c r="H55" s="48" t="str">
        <f ca="1" t="shared" si="6"/>
        <v/>
      </c>
      <c r="I55" s="26"/>
    </row>
    <row r="56" ht="36" customHeight="1" spans="1:9">
      <c r="A56" s="42"/>
      <c r="B56" s="43" t="str">
        <f t="shared" si="0"/>
        <v/>
      </c>
      <c r="C56" s="44" t="str">
        <f t="shared" si="1"/>
        <v>[]</v>
      </c>
      <c r="D56" s="45" t="str">
        <f t="shared" si="2"/>
        <v/>
      </c>
      <c r="E56" s="45" t="str">
        <f t="shared" si="3"/>
        <v/>
      </c>
      <c r="F56" s="46" t="str">
        <f t="shared" si="4"/>
        <v/>
      </c>
      <c r="G56" s="47" t="str">
        <f t="shared" si="5"/>
        <v/>
      </c>
      <c r="H56" s="48" t="str">
        <f ca="1" t="shared" si="6"/>
        <v/>
      </c>
      <c r="I56" s="26"/>
    </row>
    <row r="57" ht="36" customHeight="1" spans="1:9">
      <c r="A57" s="42"/>
      <c r="B57" s="43" t="str">
        <f t="shared" si="0"/>
        <v/>
      </c>
      <c r="C57" s="44" t="str">
        <f t="shared" si="1"/>
        <v>[]</v>
      </c>
      <c r="D57" s="45" t="str">
        <f t="shared" si="2"/>
        <v/>
      </c>
      <c r="E57" s="45" t="str">
        <f t="shared" si="3"/>
        <v/>
      </c>
      <c r="F57" s="46" t="str">
        <f t="shared" si="4"/>
        <v/>
      </c>
      <c r="G57" s="47" t="str">
        <f t="shared" si="5"/>
        <v/>
      </c>
      <c r="H57" s="48" t="str">
        <f ca="1" t="shared" si="6"/>
        <v/>
      </c>
      <c r="I57" s="26"/>
    </row>
    <row r="58" ht="36" customHeight="1" spans="1:9">
      <c r="A58" s="42"/>
      <c r="B58" s="43" t="str">
        <f t="shared" si="0"/>
        <v/>
      </c>
      <c r="C58" s="44" t="str">
        <f t="shared" si="1"/>
        <v>[]</v>
      </c>
      <c r="D58" s="45" t="str">
        <f t="shared" si="2"/>
        <v/>
      </c>
      <c r="E58" s="45" t="str">
        <f t="shared" si="3"/>
        <v/>
      </c>
      <c r="F58" s="46" t="str">
        <f t="shared" si="4"/>
        <v/>
      </c>
      <c r="G58" s="47" t="str">
        <f t="shared" si="5"/>
        <v/>
      </c>
      <c r="H58" s="48" t="str">
        <f ca="1" t="shared" si="6"/>
        <v/>
      </c>
      <c r="I58" s="26"/>
    </row>
    <row r="59" ht="36" customHeight="1" spans="1:9">
      <c r="A59" s="42"/>
      <c r="B59" s="43" t="str">
        <f t="shared" si="0"/>
        <v/>
      </c>
      <c r="C59" s="44" t="str">
        <f t="shared" si="1"/>
        <v>[]</v>
      </c>
      <c r="D59" s="45" t="str">
        <f t="shared" si="2"/>
        <v/>
      </c>
      <c r="E59" s="45" t="str">
        <f t="shared" si="3"/>
        <v/>
      </c>
      <c r="F59" s="46" t="str">
        <f t="shared" si="4"/>
        <v/>
      </c>
      <c r="G59" s="47" t="str">
        <f t="shared" si="5"/>
        <v/>
      </c>
      <c r="H59" s="48" t="str">
        <f ca="1" t="shared" si="6"/>
        <v/>
      </c>
      <c r="I59" s="26"/>
    </row>
    <row r="60" ht="36" customHeight="1" spans="1:9">
      <c r="A60" s="42"/>
      <c r="B60" s="43" t="str">
        <f t="shared" si="0"/>
        <v/>
      </c>
      <c r="C60" s="44" t="str">
        <f t="shared" si="1"/>
        <v>[]</v>
      </c>
      <c r="D60" s="45" t="str">
        <f t="shared" si="2"/>
        <v/>
      </c>
      <c r="E60" s="45" t="str">
        <f t="shared" si="3"/>
        <v/>
      </c>
      <c r="F60" s="46" t="str">
        <f t="shared" si="4"/>
        <v/>
      </c>
      <c r="G60" s="47" t="str">
        <f t="shared" si="5"/>
        <v/>
      </c>
      <c r="H60" s="48" t="str">
        <f ca="1" t="shared" si="6"/>
        <v/>
      </c>
      <c r="I60" s="26"/>
    </row>
    <row r="61" ht="36" customHeight="1" spans="1:9">
      <c r="A61" s="42"/>
      <c r="B61" s="43" t="str">
        <f t="shared" si="0"/>
        <v/>
      </c>
      <c r="C61" s="44" t="str">
        <f t="shared" si="1"/>
        <v>[]</v>
      </c>
      <c r="D61" s="45" t="str">
        <f t="shared" si="2"/>
        <v/>
      </c>
      <c r="E61" s="45" t="str">
        <f t="shared" si="3"/>
        <v/>
      </c>
      <c r="F61" s="46" t="str">
        <f t="shared" si="4"/>
        <v/>
      </c>
      <c r="G61" s="47" t="str">
        <f t="shared" si="5"/>
        <v/>
      </c>
      <c r="H61" s="48" t="str">
        <f ca="1" t="shared" si="6"/>
        <v/>
      </c>
      <c r="I61" s="26"/>
    </row>
    <row r="62" ht="36" customHeight="1" spans="1:9">
      <c r="A62" s="42"/>
      <c r="B62" s="43" t="str">
        <f t="shared" si="0"/>
        <v/>
      </c>
      <c r="C62" s="44" t="str">
        <f t="shared" si="1"/>
        <v>[]</v>
      </c>
      <c r="D62" s="45" t="str">
        <f t="shared" si="2"/>
        <v/>
      </c>
      <c r="E62" s="45" t="str">
        <f t="shared" si="3"/>
        <v/>
      </c>
      <c r="F62" s="46" t="str">
        <f t="shared" si="4"/>
        <v/>
      </c>
      <c r="G62" s="47" t="str">
        <f t="shared" si="5"/>
        <v/>
      </c>
      <c r="H62" s="48" t="str">
        <f ca="1" t="shared" si="6"/>
        <v/>
      </c>
      <c r="I62" s="26"/>
    </row>
    <row r="63" ht="36" customHeight="1" spans="1:9">
      <c r="A63" s="42"/>
      <c r="B63" s="43" t="str">
        <f t="shared" si="0"/>
        <v/>
      </c>
      <c r="C63" s="44" t="str">
        <f t="shared" si="1"/>
        <v>[]</v>
      </c>
      <c r="D63" s="45" t="str">
        <f t="shared" si="2"/>
        <v/>
      </c>
      <c r="E63" s="45" t="str">
        <f t="shared" si="3"/>
        <v/>
      </c>
      <c r="F63" s="46" t="str">
        <f t="shared" si="4"/>
        <v/>
      </c>
      <c r="G63" s="47" t="str">
        <f t="shared" si="5"/>
        <v/>
      </c>
      <c r="H63" s="48" t="str">
        <f ca="1" t="shared" si="6"/>
        <v/>
      </c>
      <c r="I63" s="26"/>
    </row>
    <row r="64" ht="36" customHeight="1" spans="1:9">
      <c r="A64" s="42"/>
      <c r="B64" s="43" t="str">
        <f t="shared" si="0"/>
        <v/>
      </c>
      <c r="C64" s="44" t="str">
        <f t="shared" si="1"/>
        <v>[]</v>
      </c>
      <c r="D64" s="45" t="str">
        <f t="shared" si="2"/>
        <v/>
      </c>
      <c r="E64" s="45" t="str">
        <f t="shared" si="3"/>
        <v/>
      </c>
      <c r="F64" s="46" t="str">
        <f t="shared" si="4"/>
        <v/>
      </c>
      <c r="G64" s="47" t="str">
        <f t="shared" si="5"/>
        <v/>
      </c>
      <c r="H64" s="48" t="str">
        <f ca="1" t="shared" si="6"/>
        <v/>
      </c>
      <c r="I64" s="26"/>
    </row>
    <row r="65" ht="36" customHeight="1" spans="1:9">
      <c r="A65" s="42"/>
      <c r="B65" s="43" t="str">
        <f t="shared" ref="B65:B128" si="7">IFERROR("@"&amp;MID(A65,SEARCH("{",A65)+1,SEARCH(",",A65)-SEARCH("{",A65)-1),"")</f>
        <v/>
      </c>
      <c r="C65" s="44" t="str">
        <f t="shared" ref="C65:C128" si="8">"["&amp;B65&amp;"]"</f>
        <v>[]</v>
      </c>
      <c r="D65" s="45" t="str">
        <f t="shared" ref="D65:D128" si="9">IFERROR(MID(A65,SEARCH("year = {",A65)+8,4),"")</f>
        <v/>
      </c>
      <c r="E65" s="45" t="str">
        <f t="shared" ref="E65:E128" si="10">IFERROR(MID(A65,SEARCH("author = {",A65)+10,SEARCH("}",A65,SEARCH("author = {",A65))-SEARCH("author = {",A65)-10),"")</f>
        <v/>
      </c>
      <c r="F65" s="46" t="str">
        <f t="shared" ref="F65:F128" si="11">IFERROR(IF(ISERROR(FIND("title =",A65)),"",MID(A65,FIND("title =",A65)+9,FIND("},",A65,FIND("title =",A65))-FIND("title =",A65)-9)),"")</f>
        <v/>
      </c>
      <c r="G65" s="47" t="str">
        <f t="shared" ref="G65:G128" si="12">IFERROR("https://doi.org/"&amp;MID(A65,SEARCH("doi = {",A65)+7,FIND("}",A65,SEARCH("doi = {",A65))-SEARCH("doi = {",A65)-7),"")</f>
        <v/>
      </c>
      <c r="H65" s="48" t="str">
        <f ca="1" t="shared" ref="H65:H128" si="13">IF(A65&lt;&gt;"",IF(H65&lt;&gt;"",H65,NOW()),"")</f>
        <v/>
      </c>
      <c r="I65" s="26"/>
    </row>
    <row r="66" ht="36" customHeight="1" spans="1:9">
      <c r="A66" s="42"/>
      <c r="B66" s="43" t="str">
        <f t="shared" si="7"/>
        <v/>
      </c>
      <c r="C66" s="44" t="str">
        <f t="shared" si="8"/>
        <v>[]</v>
      </c>
      <c r="D66" s="45" t="str">
        <f t="shared" si="9"/>
        <v/>
      </c>
      <c r="E66" s="45" t="str">
        <f t="shared" si="10"/>
        <v/>
      </c>
      <c r="F66" s="46" t="str">
        <f t="shared" si="11"/>
        <v/>
      </c>
      <c r="G66" s="47" t="str">
        <f t="shared" si="12"/>
        <v/>
      </c>
      <c r="H66" s="48" t="str">
        <f ca="1" t="shared" si="13"/>
        <v/>
      </c>
      <c r="I66" s="26"/>
    </row>
    <row r="67" ht="36" customHeight="1" spans="1:9">
      <c r="A67" s="42"/>
      <c r="B67" s="43" t="str">
        <f t="shared" si="7"/>
        <v/>
      </c>
      <c r="C67" s="44" t="str">
        <f t="shared" si="8"/>
        <v>[]</v>
      </c>
      <c r="D67" s="45" t="str">
        <f t="shared" si="9"/>
        <v/>
      </c>
      <c r="E67" s="45" t="str">
        <f t="shared" si="10"/>
        <v/>
      </c>
      <c r="F67" s="46" t="str">
        <f t="shared" si="11"/>
        <v/>
      </c>
      <c r="G67" s="47" t="str">
        <f t="shared" si="12"/>
        <v/>
      </c>
      <c r="H67" s="48" t="str">
        <f ca="1" t="shared" si="13"/>
        <v/>
      </c>
      <c r="I67" s="26"/>
    </row>
    <row r="68" ht="36" customHeight="1" spans="1:9">
      <c r="A68" s="42"/>
      <c r="B68" s="43" t="str">
        <f t="shared" si="7"/>
        <v/>
      </c>
      <c r="C68" s="44" t="str">
        <f t="shared" si="8"/>
        <v>[]</v>
      </c>
      <c r="D68" s="45" t="str">
        <f t="shared" si="9"/>
        <v/>
      </c>
      <c r="E68" s="45" t="str">
        <f t="shared" si="10"/>
        <v/>
      </c>
      <c r="F68" s="46" t="str">
        <f t="shared" si="11"/>
        <v/>
      </c>
      <c r="G68" s="47" t="str">
        <f t="shared" si="12"/>
        <v/>
      </c>
      <c r="H68" s="48" t="str">
        <f ca="1" t="shared" si="13"/>
        <v/>
      </c>
      <c r="I68" s="26"/>
    </row>
    <row r="69" ht="36" customHeight="1" spans="1:9">
      <c r="A69" s="42"/>
      <c r="B69" s="43" t="str">
        <f t="shared" si="7"/>
        <v/>
      </c>
      <c r="C69" s="44" t="str">
        <f t="shared" si="8"/>
        <v>[]</v>
      </c>
      <c r="D69" s="45" t="str">
        <f t="shared" si="9"/>
        <v/>
      </c>
      <c r="E69" s="45" t="str">
        <f t="shared" si="10"/>
        <v/>
      </c>
      <c r="F69" s="46" t="str">
        <f t="shared" si="11"/>
        <v/>
      </c>
      <c r="G69" s="47" t="str">
        <f t="shared" si="12"/>
        <v/>
      </c>
      <c r="H69" s="48" t="str">
        <f ca="1" t="shared" si="13"/>
        <v/>
      </c>
      <c r="I69" s="26"/>
    </row>
    <row r="70" ht="36" customHeight="1" spans="1:9">
      <c r="A70" s="42"/>
      <c r="B70" s="43" t="str">
        <f t="shared" si="7"/>
        <v/>
      </c>
      <c r="C70" s="44" t="str">
        <f t="shared" si="8"/>
        <v>[]</v>
      </c>
      <c r="D70" s="45" t="str">
        <f t="shared" si="9"/>
        <v/>
      </c>
      <c r="E70" s="45" t="str">
        <f t="shared" si="10"/>
        <v/>
      </c>
      <c r="F70" s="46" t="str">
        <f t="shared" si="11"/>
        <v/>
      </c>
      <c r="G70" s="47" t="str">
        <f t="shared" si="12"/>
        <v/>
      </c>
      <c r="H70" s="48" t="str">
        <f ca="1" t="shared" si="13"/>
        <v/>
      </c>
      <c r="I70" s="26"/>
    </row>
    <row r="71" ht="36" customHeight="1" spans="1:9">
      <c r="A71" s="42"/>
      <c r="B71" s="43" t="str">
        <f t="shared" si="7"/>
        <v/>
      </c>
      <c r="C71" s="44" t="str">
        <f t="shared" si="8"/>
        <v>[]</v>
      </c>
      <c r="D71" s="45" t="str">
        <f t="shared" si="9"/>
        <v/>
      </c>
      <c r="E71" s="45" t="str">
        <f t="shared" si="10"/>
        <v/>
      </c>
      <c r="F71" s="46" t="str">
        <f t="shared" si="11"/>
        <v/>
      </c>
      <c r="G71" s="47" t="str">
        <f t="shared" si="12"/>
        <v/>
      </c>
      <c r="H71" s="48" t="str">
        <f ca="1" t="shared" si="13"/>
        <v/>
      </c>
      <c r="I71" s="26"/>
    </row>
    <row r="72" ht="36" customHeight="1" spans="1:9">
      <c r="A72" s="42"/>
      <c r="B72" s="43" t="str">
        <f t="shared" si="7"/>
        <v/>
      </c>
      <c r="C72" s="44" t="str">
        <f t="shared" si="8"/>
        <v>[]</v>
      </c>
      <c r="D72" s="45" t="str">
        <f t="shared" si="9"/>
        <v/>
      </c>
      <c r="E72" s="45" t="str">
        <f t="shared" si="10"/>
        <v/>
      </c>
      <c r="F72" s="46" t="str">
        <f t="shared" si="11"/>
        <v/>
      </c>
      <c r="G72" s="47" t="str">
        <f t="shared" si="12"/>
        <v/>
      </c>
      <c r="H72" s="48" t="str">
        <f ca="1" t="shared" si="13"/>
        <v/>
      </c>
      <c r="I72" s="26"/>
    </row>
    <row r="73" ht="36" customHeight="1" spans="1:9">
      <c r="A73" s="42"/>
      <c r="B73" s="43" t="str">
        <f t="shared" si="7"/>
        <v/>
      </c>
      <c r="C73" s="44" t="str">
        <f t="shared" si="8"/>
        <v>[]</v>
      </c>
      <c r="D73" s="45" t="str">
        <f t="shared" si="9"/>
        <v/>
      </c>
      <c r="E73" s="45" t="str">
        <f t="shared" si="10"/>
        <v/>
      </c>
      <c r="F73" s="46" t="str">
        <f t="shared" si="11"/>
        <v/>
      </c>
      <c r="G73" s="47" t="str">
        <f t="shared" si="12"/>
        <v/>
      </c>
      <c r="H73" s="48" t="str">
        <f ca="1" t="shared" si="13"/>
        <v/>
      </c>
      <c r="I73" s="26"/>
    </row>
    <row r="74" ht="36" customHeight="1" spans="1:9">
      <c r="A74" s="42"/>
      <c r="B74" s="43" t="str">
        <f t="shared" si="7"/>
        <v/>
      </c>
      <c r="C74" s="44" t="str">
        <f t="shared" si="8"/>
        <v>[]</v>
      </c>
      <c r="D74" s="45" t="str">
        <f t="shared" si="9"/>
        <v/>
      </c>
      <c r="E74" s="45" t="str">
        <f t="shared" si="10"/>
        <v/>
      </c>
      <c r="F74" s="46" t="str">
        <f t="shared" si="11"/>
        <v/>
      </c>
      <c r="G74" s="47" t="str">
        <f t="shared" si="12"/>
        <v/>
      </c>
      <c r="H74" s="48" t="str">
        <f ca="1" t="shared" si="13"/>
        <v/>
      </c>
      <c r="I74" s="26"/>
    </row>
    <row r="75" ht="36" customHeight="1" spans="1:9">
      <c r="A75" s="42"/>
      <c r="B75" s="43" t="str">
        <f t="shared" si="7"/>
        <v/>
      </c>
      <c r="C75" s="44" t="str">
        <f t="shared" si="8"/>
        <v>[]</v>
      </c>
      <c r="D75" s="45" t="str">
        <f t="shared" si="9"/>
        <v/>
      </c>
      <c r="E75" s="45" t="str">
        <f t="shared" si="10"/>
        <v/>
      </c>
      <c r="F75" s="46" t="str">
        <f t="shared" si="11"/>
        <v/>
      </c>
      <c r="G75" s="47" t="str">
        <f t="shared" si="12"/>
        <v/>
      </c>
      <c r="H75" s="48" t="str">
        <f ca="1" t="shared" si="13"/>
        <v/>
      </c>
      <c r="I75" s="26"/>
    </row>
    <row r="76" ht="36" customHeight="1" spans="1:9">
      <c r="A76" s="42"/>
      <c r="B76" s="43" t="str">
        <f t="shared" si="7"/>
        <v/>
      </c>
      <c r="C76" s="44" t="str">
        <f t="shared" si="8"/>
        <v>[]</v>
      </c>
      <c r="D76" s="45" t="str">
        <f t="shared" si="9"/>
        <v/>
      </c>
      <c r="E76" s="45" t="str">
        <f t="shared" si="10"/>
        <v/>
      </c>
      <c r="F76" s="46" t="str">
        <f t="shared" si="11"/>
        <v/>
      </c>
      <c r="G76" s="47" t="str">
        <f t="shared" si="12"/>
        <v/>
      </c>
      <c r="H76" s="48" t="str">
        <f ca="1" t="shared" si="13"/>
        <v/>
      </c>
      <c r="I76" s="26"/>
    </row>
    <row r="77" ht="36" customHeight="1" spans="1:9">
      <c r="A77" s="42"/>
      <c r="B77" s="43" t="str">
        <f t="shared" si="7"/>
        <v/>
      </c>
      <c r="C77" s="44" t="str">
        <f t="shared" si="8"/>
        <v>[]</v>
      </c>
      <c r="D77" s="45" t="str">
        <f t="shared" si="9"/>
        <v/>
      </c>
      <c r="E77" s="45" t="str">
        <f t="shared" si="10"/>
        <v/>
      </c>
      <c r="F77" s="46" t="str">
        <f t="shared" si="11"/>
        <v/>
      </c>
      <c r="G77" s="47" t="str">
        <f t="shared" si="12"/>
        <v/>
      </c>
      <c r="H77" s="48" t="str">
        <f ca="1" t="shared" si="13"/>
        <v/>
      </c>
      <c r="I77" s="26"/>
    </row>
    <row r="78" ht="36" customHeight="1" spans="1:9">
      <c r="A78" s="42"/>
      <c r="B78" s="43" t="str">
        <f t="shared" si="7"/>
        <v/>
      </c>
      <c r="C78" s="44" t="str">
        <f t="shared" si="8"/>
        <v>[]</v>
      </c>
      <c r="D78" s="45" t="str">
        <f t="shared" si="9"/>
        <v/>
      </c>
      <c r="E78" s="45" t="str">
        <f t="shared" si="10"/>
        <v/>
      </c>
      <c r="F78" s="46" t="str">
        <f t="shared" si="11"/>
        <v/>
      </c>
      <c r="G78" s="47" t="str">
        <f t="shared" si="12"/>
        <v/>
      </c>
      <c r="H78" s="48" t="str">
        <f ca="1" t="shared" si="13"/>
        <v/>
      </c>
      <c r="I78" s="26"/>
    </row>
    <row r="79" ht="36" customHeight="1" spans="1:9">
      <c r="A79" s="42"/>
      <c r="B79" s="43" t="str">
        <f t="shared" si="7"/>
        <v/>
      </c>
      <c r="C79" s="44" t="str">
        <f t="shared" si="8"/>
        <v>[]</v>
      </c>
      <c r="D79" s="45" t="str">
        <f t="shared" si="9"/>
        <v/>
      </c>
      <c r="E79" s="45" t="str">
        <f t="shared" si="10"/>
        <v/>
      </c>
      <c r="F79" s="46" t="str">
        <f t="shared" si="11"/>
        <v/>
      </c>
      <c r="G79" s="47" t="str">
        <f t="shared" si="12"/>
        <v/>
      </c>
      <c r="H79" s="48" t="str">
        <f ca="1" t="shared" si="13"/>
        <v/>
      </c>
      <c r="I79" s="26"/>
    </row>
    <row r="80" ht="36" customHeight="1" spans="1:9">
      <c r="A80" s="42"/>
      <c r="B80" s="43" t="str">
        <f t="shared" si="7"/>
        <v/>
      </c>
      <c r="C80" s="44" t="str">
        <f t="shared" si="8"/>
        <v>[]</v>
      </c>
      <c r="D80" s="45" t="str">
        <f t="shared" si="9"/>
        <v/>
      </c>
      <c r="E80" s="45" t="str">
        <f t="shared" si="10"/>
        <v/>
      </c>
      <c r="F80" s="46" t="str">
        <f t="shared" si="11"/>
        <v/>
      </c>
      <c r="G80" s="47" t="str">
        <f t="shared" si="12"/>
        <v/>
      </c>
      <c r="H80" s="48" t="str">
        <f ca="1" t="shared" si="13"/>
        <v/>
      </c>
      <c r="I80" s="26"/>
    </row>
    <row r="81" ht="36" customHeight="1" spans="1:9">
      <c r="A81" s="42"/>
      <c r="B81" s="43" t="str">
        <f t="shared" si="7"/>
        <v/>
      </c>
      <c r="C81" s="44" t="str">
        <f t="shared" si="8"/>
        <v>[]</v>
      </c>
      <c r="D81" s="45" t="str">
        <f t="shared" si="9"/>
        <v/>
      </c>
      <c r="E81" s="45" t="str">
        <f t="shared" si="10"/>
        <v/>
      </c>
      <c r="F81" s="46" t="str">
        <f t="shared" si="11"/>
        <v/>
      </c>
      <c r="G81" s="47" t="str">
        <f t="shared" si="12"/>
        <v/>
      </c>
      <c r="H81" s="48" t="str">
        <f ca="1" t="shared" si="13"/>
        <v/>
      </c>
      <c r="I81" s="26"/>
    </row>
    <row r="82" ht="36" customHeight="1" spans="1:9">
      <c r="A82" s="42"/>
      <c r="B82" s="43" t="str">
        <f t="shared" si="7"/>
        <v/>
      </c>
      <c r="C82" s="44" t="str">
        <f t="shared" si="8"/>
        <v>[]</v>
      </c>
      <c r="D82" s="45" t="str">
        <f t="shared" si="9"/>
        <v/>
      </c>
      <c r="E82" s="45" t="str">
        <f t="shared" si="10"/>
        <v/>
      </c>
      <c r="F82" s="46" t="str">
        <f t="shared" si="11"/>
        <v/>
      </c>
      <c r="G82" s="47" t="str">
        <f t="shared" si="12"/>
        <v/>
      </c>
      <c r="H82" s="48" t="str">
        <f ca="1" t="shared" si="13"/>
        <v/>
      </c>
      <c r="I82" s="26"/>
    </row>
    <row r="83" ht="36" customHeight="1" spans="1:9">
      <c r="A83" s="42"/>
      <c r="B83" s="43" t="str">
        <f t="shared" si="7"/>
        <v/>
      </c>
      <c r="C83" s="44" t="str">
        <f t="shared" si="8"/>
        <v>[]</v>
      </c>
      <c r="D83" s="45" t="str">
        <f t="shared" si="9"/>
        <v/>
      </c>
      <c r="E83" s="45" t="str">
        <f t="shared" si="10"/>
        <v/>
      </c>
      <c r="F83" s="46" t="str">
        <f t="shared" si="11"/>
        <v/>
      </c>
      <c r="G83" s="47" t="str">
        <f t="shared" si="12"/>
        <v/>
      </c>
      <c r="H83" s="48" t="str">
        <f ca="1" t="shared" si="13"/>
        <v/>
      </c>
      <c r="I83" s="26"/>
    </row>
    <row r="84" ht="36" customHeight="1" spans="1:9">
      <c r="A84" s="42"/>
      <c r="B84" s="43" t="str">
        <f t="shared" si="7"/>
        <v/>
      </c>
      <c r="C84" s="44" t="str">
        <f t="shared" si="8"/>
        <v>[]</v>
      </c>
      <c r="D84" s="45" t="str">
        <f t="shared" si="9"/>
        <v/>
      </c>
      <c r="E84" s="45" t="str">
        <f t="shared" si="10"/>
        <v/>
      </c>
      <c r="F84" s="46" t="str">
        <f t="shared" si="11"/>
        <v/>
      </c>
      <c r="G84" s="47" t="str">
        <f t="shared" si="12"/>
        <v/>
      </c>
      <c r="H84" s="48" t="str">
        <f ca="1" t="shared" si="13"/>
        <v/>
      </c>
      <c r="I84" s="26"/>
    </row>
    <row r="85" ht="36" customHeight="1" spans="1:9">
      <c r="A85" s="42"/>
      <c r="B85" s="43" t="str">
        <f t="shared" si="7"/>
        <v/>
      </c>
      <c r="C85" s="44" t="str">
        <f t="shared" si="8"/>
        <v>[]</v>
      </c>
      <c r="D85" s="45" t="str">
        <f t="shared" si="9"/>
        <v/>
      </c>
      <c r="E85" s="45" t="str">
        <f t="shared" si="10"/>
        <v/>
      </c>
      <c r="F85" s="46" t="str">
        <f t="shared" si="11"/>
        <v/>
      </c>
      <c r="G85" s="47" t="str">
        <f t="shared" si="12"/>
        <v/>
      </c>
      <c r="H85" s="48" t="str">
        <f ca="1" t="shared" si="13"/>
        <v/>
      </c>
      <c r="I85" s="26"/>
    </row>
    <row r="86" ht="36" customHeight="1" spans="1:9">
      <c r="A86" s="42"/>
      <c r="B86" s="43" t="str">
        <f t="shared" si="7"/>
        <v/>
      </c>
      <c r="C86" s="44" t="str">
        <f t="shared" si="8"/>
        <v>[]</v>
      </c>
      <c r="D86" s="45" t="str">
        <f t="shared" si="9"/>
        <v/>
      </c>
      <c r="E86" s="45" t="str">
        <f t="shared" si="10"/>
        <v/>
      </c>
      <c r="F86" s="46" t="str">
        <f t="shared" si="11"/>
        <v/>
      </c>
      <c r="G86" s="47" t="str">
        <f t="shared" si="12"/>
        <v/>
      </c>
      <c r="H86" s="48" t="str">
        <f ca="1" t="shared" si="13"/>
        <v/>
      </c>
      <c r="I86" s="26"/>
    </row>
    <row r="87" ht="36" customHeight="1" spans="1:9">
      <c r="A87" s="42"/>
      <c r="B87" s="43" t="str">
        <f t="shared" si="7"/>
        <v/>
      </c>
      <c r="C87" s="44" t="str">
        <f t="shared" si="8"/>
        <v>[]</v>
      </c>
      <c r="D87" s="45" t="str">
        <f t="shared" si="9"/>
        <v/>
      </c>
      <c r="E87" s="45" t="str">
        <f t="shared" si="10"/>
        <v/>
      </c>
      <c r="F87" s="46" t="str">
        <f t="shared" si="11"/>
        <v/>
      </c>
      <c r="G87" s="47" t="str">
        <f t="shared" si="12"/>
        <v/>
      </c>
      <c r="H87" s="48" t="str">
        <f ca="1" t="shared" si="13"/>
        <v/>
      </c>
      <c r="I87" s="26"/>
    </row>
    <row r="88" ht="36" customHeight="1" spans="1:9">
      <c r="A88" s="42"/>
      <c r="B88" s="43" t="str">
        <f t="shared" si="7"/>
        <v/>
      </c>
      <c r="C88" s="44" t="str">
        <f t="shared" si="8"/>
        <v>[]</v>
      </c>
      <c r="D88" s="45" t="str">
        <f t="shared" si="9"/>
        <v/>
      </c>
      <c r="E88" s="45" t="str">
        <f t="shared" si="10"/>
        <v/>
      </c>
      <c r="F88" s="46" t="str">
        <f t="shared" si="11"/>
        <v/>
      </c>
      <c r="G88" s="47" t="str">
        <f t="shared" si="12"/>
        <v/>
      </c>
      <c r="H88" s="48" t="str">
        <f ca="1" t="shared" si="13"/>
        <v/>
      </c>
      <c r="I88" s="26"/>
    </row>
    <row r="89" ht="36" customHeight="1" spans="1:9">
      <c r="A89" s="42"/>
      <c r="B89" s="43" t="str">
        <f t="shared" si="7"/>
        <v/>
      </c>
      <c r="C89" s="44" t="str">
        <f t="shared" si="8"/>
        <v>[]</v>
      </c>
      <c r="D89" s="45" t="str">
        <f t="shared" si="9"/>
        <v/>
      </c>
      <c r="E89" s="45" t="str">
        <f t="shared" si="10"/>
        <v/>
      </c>
      <c r="F89" s="46" t="str">
        <f t="shared" si="11"/>
        <v/>
      </c>
      <c r="G89" s="47" t="str">
        <f t="shared" si="12"/>
        <v/>
      </c>
      <c r="H89" s="48" t="str">
        <f ca="1" t="shared" si="13"/>
        <v/>
      </c>
      <c r="I89" s="26"/>
    </row>
    <row r="90" ht="36" customHeight="1" spans="1:9">
      <c r="A90" s="42"/>
      <c r="B90" s="43" t="str">
        <f t="shared" si="7"/>
        <v/>
      </c>
      <c r="C90" s="44" t="str">
        <f t="shared" si="8"/>
        <v>[]</v>
      </c>
      <c r="D90" s="45" t="str">
        <f t="shared" si="9"/>
        <v/>
      </c>
      <c r="E90" s="45" t="str">
        <f t="shared" si="10"/>
        <v/>
      </c>
      <c r="F90" s="46" t="str">
        <f t="shared" si="11"/>
        <v/>
      </c>
      <c r="G90" s="47" t="str">
        <f t="shared" si="12"/>
        <v/>
      </c>
      <c r="H90" s="48" t="str">
        <f ca="1" t="shared" si="13"/>
        <v/>
      </c>
      <c r="I90" s="26"/>
    </row>
    <row r="91" ht="36" customHeight="1" spans="1:9">
      <c r="A91" s="42"/>
      <c r="B91" s="43" t="str">
        <f t="shared" si="7"/>
        <v/>
      </c>
      <c r="C91" s="44" t="str">
        <f t="shared" si="8"/>
        <v>[]</v>
      </c>
      <c r="D91" s="45" t="str">
        <f t="shared" si="9"/>
        <v/>
      </c>
      <c r="E91" s="45" t="str">
        <f t="shared" si="10"/>
        <v/>
      </c>
      <c r="F91" s="46" t="str">
        <f t="shared" si="11"/>
        <v/>
      </c>
      <c r="G91" s="47" t="str">
        <f t="shared" si="12"/>
        <v/>
      </c>
      <c r="H91" s="48" t="str">
        <f ca="1" t="shared" si="13"/>
        <v/>
      </c>
      <c r="I91" s="26"/>
    </row>
    <row r="92" ht="36" customHeight="1" spans="1:9">
      <c r="A92" s="42"/>
      <c r="B92" s="43" t="str">
        <f t="shared" si="7"/>
        <v/>
      </c>
      <c r="C92" s="44" t="str">
        <f t="shared" si="8"/>
        <v>[]</v>
      </c>
      <c r="D92" s="45" t="str">
        <f t="shared" si="9"/>
        <v/>
      </c>
      <c r="E92" s="45" t="str">
        <f t="shared" si="10"/>
        <v/>
      </c>
      <c r="F92" s="46" t="str">
        <f t="shared" si="11"/>
        <v/>
      </c>
      <c r="G92" s="47" t="str">
        <f t="shared" si="12"/>
        <v/>
      </c>
      <c r="H92" s="48" t="str">
        <f ca="1" t="shared" si="13"/>
        <v/>
      </c>
      <c r="I92" s="26"/>
    </row>
    <row r="93" ht="36" customHeight="1" spans="1:9">
      <c r="A93" s="42"/>
      <c r="B93" s="43" t="str">
        <f t="shared" si="7"/>
        <v/>
      </c>
      <c r="C93" s="44" t="str">
        <f t="shared" si="8"/>
        <v>[]</v>
      </c>
      <c r="D93" s="45" t="str">
        <f t="shared" si="9"/>
        <v/>
      </c>
      <c r="E93" s="45" t="str">
        <f t="shared" si="10"/>
        <v/>
      </c>
      <c r="F93" s="46" t="str">
        <f t="shared" si="11"/>
        <v/>
      </c>
      <c r="G93" s="47" t="str">
        <f t="shared" si="12"/>
        <v/>
      </c>
      <c r="H93" s="48" t="str">
        <f ca="1" t="shared" si="13"/>
        <v/>
      </c>
      <c r="I93" s="26"/>
    </row>
    <row r="94" ht="36" customHeight="1" spans="1:9">
      <c r="A94" s="42"/>
      <c r="B94" s="43" t="str">
        <f t="shared" si="7"/>
        <v/>
      </c>
      <c r="C94" s="44" t="str">
        <f t="shared" si="8"/>
        <v>[]</v>
      </c>
      <c r="D94" s="45" t="str">
        <f t="shared" si="9"/>
        <v/>
      </c>
      <c r="E94" s="45" t="str">
        <f t="shared" si="10"/>
        <v/>
      </c>
      <c r="F94" s="46" t="str">
        <f t="shared" si="11"/>
        <v/>
      </c>
      <c r="G94" s="47" t="str">
        <f t="shared" si="12"/>
        <v/>
      </c>
      <c r="H94" s="48" t="str">
        <f ca="1" t="shared" si="13"/>
        <v/>
      </c>
      <c r="I94" s="26"/>
    </row>
    <row r="95" ht="36" customHeight="1" spans="1:9">
      <c r="A95" s="42"/>
      <c r="B95" s="43" t="str">
        <f t="shared" si="7"/>
        <v/>
      </c>
      <c r="C95" s="44" t="str">
        <f t="shared" si="8"/>
        <v>[]</v>
      </c>
      <c r="D95" s="45" t="str">
        <f t="shared" si="9"/>
        <v/>
      </c>
      <c r="E95" s="45" t="str">
        <f t="shared" si="10"/>
        <v/>
      </c>
      <c r="F95" s="46" t="str">
        <f t="shared" si="11"/>
        <v/>
      </c>
      <c r="G95" s="47" t="str">
        <f t="shared" si="12"/>
        <v/>
      </c>
      <c r="H95" s="48" t="str">
        <f ca="1" t="shared" si="13"/>
        <v/>
      </c>
      <c r="I95" s="26"/>
    </row>
    <row r="96" ht="36" customHeight="1" spans="1:9">
      <c r="A96" s="42"/>
      <c r="B96" s="43" t="str">
        <f t="shared" si="7"/>
        <v/>
      </c>
      <c r="C96" s="44" t="str">
        <f t="shared" si="8"/>
        <v>[]</v>
      </c>
      <c r="D96" s="45" t="str">
        <f t="shared" si="9"/>
        <v/>
      </c>
      <c r="E96" s="45" t="str">
        <f t="shared" si="10"/>
        <v/>
      </c>
      <c r="F96" s="46" t="str">
        <f t="shared" si="11"/>
        <v/>
      </c>
      <c r="G96" s="47" t="str">
        <f t="shared" si="12"/>
        <v/>
      </c>
      <c r="H96" s="48" t="str">
        <f ca="1" t="shared" si="13"/>
        <v/>
      </c>
      <c r="I96" s="26"/>
    </row>
    <row r="97" ht="36" customHeight="1" spans="1:9">
      <c r="A97" s="42"/>
      <c r="B97" s="43" t="str">
        <f t="shared" si="7"/>
        <v/>
      </c>
      <c r="C97" s="44" t="str">
        <f t="shared" si="8"/>
        <v>[]</v>
      </c>
      <c r="D97" s="45" t="str">
        <f t="shared" si="9"/>
        <v/>
      </c>
      <c r="E97" s="45" t="str">
        <f t="shared" si="10"/>
        <v/>
      </c>
      <c r="F97" s="46" t="str">
        <f t="shared" si="11"/>
        <v/>
      </c>
      <c r="G97" s="47" t="str">
        <f t="shared" si="12"/>
        <v/>
      </c>
      <c r="H97" s="48" t="str">
        <f ca="1" t="shared" si="13"/>
        <v/>
      </c>
      <c r="I97" s="26"/>
    </row>
    <row r="98" ht="36" customHeight="1" spans="1:9">
      <c r="A98" s="42"/>
      <c r="B98" s="43" t="str">
        <f t="shared" si="7"/>
        <v/>
      </c>
      <c r="C98" s="44" t="str">
        <f t="shared" si="8"/>
        <v>[]</v>
      </c>
      <c r="D98" s="45" t="str">
        <f t="shared" si="9"/>
        <v/>
      </c>
      <c r="E98" s="45" t="str">
        <f t="shared" si="10"/>
        <v/>
      </c>
      <c r="F98" s="46" t="str">
        <f t="shared" si="11"/>
        <v/>
      </c>
      <c r="G98" s="47" t="str">
        <f t="shared" si="12"/>
        <v/>
      </c>
      <c r="H98" s="48" t="str">
        <f ca="1" t="shared" si="13"/>
        <v/>
      </c>
      <c r="I98" s="26"/>
    </row>
    <row r="99" ht="36" customHeight="1" spans="1:9">
      <c r="A99" s="42"/>
      <c r="B99" s="43" t="str">
        <f t="shared" si="7"/>
        <v/>
      </c>
      <c r="C99" s="44" t="str">
        <f t="shared" si="8"/>
        <v>[]</v>
      </c>
      <c r="D99" s="45" t="str">
        <f t="shared" si="9"/>
        <v/>
      </c>
      <c r="E99" s="45" t="str">
        <f t="shared" si="10"/>
        <v/>
      </c>
      <c r="F99" s="46" t="str">
        <f t="shared" si="11"/>
        <v/>
      </c>
      <c r="G99" s="47" t="str">
        <f t="shared" si="12"/>
        <v/>
      </c>
      <c r="H99" s="48" t="str">
        <f ca="1" t="shared" si="13"/>
        <v/>
      </c>
      <c r="I99" s="26"/>
    </row>
    <row r="100" ht="36" customHeight="1" spans="1:9">
      <c r="A100" s="42"/>
      <c r="B100" s="43" t="str">
        <f t="shared" si="7"/>
        <v/>
      </c>
      <c r="C100" s="44" t="str">
        <f t="shared" si="8"/>
        <v>[]</v>
      </c>
      <c r="D100" s="45" t="str">
        <f t="shared" si="9"/>
        <v/>
      </c>
      <c r="E100" s="45" t="str">
        <f t="shared" si="10"/>
        <v/>
      </c>
      <c r="F100" s="46" t="str">
        <f t="shared" si="11"/>
        <v/>
      </c>
      <c r="G100" s="47" t="str">
        <f t="shared" si="12"/>
        <v/>
      </c>
      <c r="H100" s="48" t="str">
        <f ca="1" t="shared" si="13"/>
        <v/>
      </c>
      <c r="I100" s="26"/>
    </row>
    <row r="101" ht="36" customHeight="1" spans="1:9">
      <c r="A101" s="42"/>
      <c r="B101" s="43" t="str">
        <f t="shared" si="7"/>
        <v/>
      </c>
      <c r="C101" s="44" t="str">
        <f t="shared" si="8"/>
        <v>[]</v>
      </c>
      <c r="D101" s="45" t="str">
        <f t="shared" si="9"/>
        <v/>
      </c>
      <c r="E101" s="45" t="str">
        <f t="shared" si="10"/>
        <v/>
      </c>
      <c r="F101" s="46" t="str">
        <f t="shared" si="11"/>
        <v/>
      </c>
      <c r="G101" s="47" t="str">
        <f t="shared" si="12"/>
        <v/>
      </c>
      <c r="H101" s="48" t="str">
        <f ca="1" t="shared" si="13"/>
        <v/>
      </c>
      <c r="I101" s="26"/>
    </row>
    <row r="102" ht="36" customHeight="1" spans="1:9">
      <c r="A102" s="42"/>
      <c r="B102" s="43" t="str">
        <f t="shared" si="7"/>
        <v/>
      </c>
      <c r="C102" s="44" t="str">
        <f t="shared" si="8"/>
        <v>[]</v>
      </c>
      <c r="D102" s="45" t="str">
        <f t="shared" si="9"/>
        <v/>
      </c>
      <c r="E102" s="45" t="str">
        <f t="shared" si="10"/>
        <v/>
      </c>
      <c r="F102" s="46" t="str">
        <f t="shared" si="11"/>
        <v/>
      </c>
      <c r="G102" s="47" t="str">
        <f t="shared" si="12"/>
        <v/>
      </c>
      <c r="H102" s="48" t="str">
        <f ca="1" t="shared" si="13"/>
        <v/>
      </c>
      <c r="I102" s="26"/>
    </row>
    <row r="103" ht="36" customHeight="1" spans="1:9">
      <c r="A103" s="42"/>
      <c r="B103" s="43" t="str">
        <f t="shared" si="7"/>
        <v/>
      </c>
      <c r="C103" s="44" t="str">
        <f t="shared" si="8"/>
        <v>[]</v>
      </c>
      <c r="D103" s="45" t="str">
        <f t="shared" si="9"/>
        <v/>
      </c>
      <c r="E103" s="45" t="str">
        <f t="shared" si="10"/>
        <v/>
      </c>
      <c r="F103" s="46" t="str">
        <f t="shared" si="11"/>
        <v/>
      </c>
      <c r="G103" s="47" t="str">
        <f t="shared" si="12"/>
        <v/>
      </c>
      <c r="H103" s="48" t="str">
        <f ca="1" t="shared" si="13"/>
        <v/>
      </c>
      <c r="I103" s="26"/>
    </row>
    <row r="104" ht="36" customHeight="1" spans="1:9">
      <c r="A104" s="42"/>
      <c r="B104" s="43" t="str">
        <f t="shared" si="7"/>
        <v/>
      </c>
      <c r="C104" s="44" t="str">
        <f t="shared" si="8"/>
        <v>[]</v>
      </c>
      <c r="D104" s="45" t="str">
        <f t="shared" si="9"/>
        <v/>
      </c>
      <c r="E104" s="45" t="str">
        <f t="shared" si="10"/>
        <v/>
      </c>
      <c r="F104" s="46" t="str">
        <f t="shared" si="11"/>
        <v/>
      </c>
      <c r="G104" s="47" t="str">
        <f t="shared" si="12"/>
        <v/>
      </c>
      <c r="H104" s="48" t="str">
        <f ca="1" t="shared" si="13"/>
        <v/>
      </c>
      <c r="I104" s="26"/>
    </row>
    <row r="105" ht="36" customHeight="1" spans="1:9">
      <c r="A105" s="42"/>
      <c r="B105" s="43" t="str">
        <f t="shared" si="7"/>
        <v/>
      </c>
      <c r="C105" s="44" t="str">
        <f t="shared" si="8"/>
        <v>[]</v>
      </c>
      <c r="D105" s="45" t="str">
        <f t="shared" si="9"/>
        <v/>
      </c>
      <c r="E105" s="45" t="str">
        <f t="shared" si="10"/>
        <v/>
      </c>
      <c r="F105" s="46" t="str">
        <f t="shared" si="11"/>
        <v/>
      </c>
      <c r="G105" s="47" t="str">
        <f t="shared" si="12"/>
        <v/>
      </c>
      <c r="H105" s="48" t="str">
        <f ca="1" t="shared" si="13"/>
        <v/>
      </c>
      <c r="I105" s="26"/>
    </row>
    <row r="106" ht="36" customHeight="1" spans="1:9">
      <c r="A106" s="42"/>
      <c r="B106" s="43" t="str">
        <f t="shared" si="7"/>
        <v/>
      </c>
      <c r="C106" s="44" t="str">
        <f t="shared" si="8"/>
        <v>[]</v>
      </c>
      <c r="D106" s="45" t="str">
        <f t="shared" si="9"/>
        <v/>
      </c>
      <c r="E106" s="45" t="str">
        <f t="shared" si="10"/>
        <v/>
      </c>
      <c r="F106" s="46" t="str">
        <f t="shared" si="11"/>
        <v/>
      </c>
      <c r="G106" s="47" t="str">
        <f t="shared" si="12"/>
        <v/>
      </c>
      <c r="H106" s="48" t="str">
        <f ca="1" t="shared" si="13"/>
        <v/>
      </c>
      <c r="I106" s="26"/>
    </row>
    <row r="107" ht="36" customHeight="1" spans="1:9">
      <c r="A107" s="42"/>
      <c r="B107" s="43" t="str">
        <f t="shared" si="7"/>
        <v/>
      </c>
      <c r="C107" s="44" t="str">
        <f t="shared" si="8"/>
        <v>[]</v>
      </c>
      <c r="D107" s="45" t="str">
        <f t="shared" si="9"/>
        <v/>
      </c>
      <c r="E107" s="45" t="str">
        <f t="shared" si="10"/>
        <v/>
      </c>
      <c r="F107" s="46" t="str">
        <f t="shared" si="11"/>
        <v/>
      </c>
      <c r="G107" s="47" t="str">
        <f t="shared" si="12"/>
        <v/>
      </c>
      <c r="H107" s="48" t="str">
        <f ca="1" t="shared" si="13"/>
        <v/>
      </c>
      <c r="I107" s="26"/>
    </row>
    <row r="108" ht="36" customHeight="1" spans="1:9">
      <c r="A108" s="42"/>
      <c r="B108" s="43" t="str">
        <f t="shared" si="7"/>
        <v/>
      </c>
      <c r="C108" s="44" t="str">
        <f t="shared" si="8"/>
        <v>[]</v>
      </c>
      <c r="D108" s="45" t="str">
        <f t="shared" si="9"/>
        <v/>
      </c>
      <c r="E108" s="45" t="str">
        <f t="shared" si="10"/>
        <v/>
      </c>
      <c r="F108" s="46" t="str">
        <f t="shared" si="11"/>
        <v/>
      </c>
      <c r="G108" s="47" t="str">
        <f t="shared" si="12"/>
        <v/>
      </c>
      <c r="H108" s="48" t="str">
        <f ca="1" t="shared" si="13"/>
        <v/>
      </c>
      <c r="I108" s="26"/>
    </row>
    <row r="109" ht="36" customHeight="1" spans="1:9">
      <c r="A109" s="42"/>
      <c r="B109" s="43" t="str">
        <f t="shared" si="7"/>
        <v/>
      </c>
      <c r="C109" s="44" t="str">
        <f t="shared" si="8"/>
        <v>[]</v>
      </c>
      <c r="D109" s="45" t="str">
        <f t="shared" si="9"/>
        <v/>
      </c>
      <c r="E109" s="45" t="str">
        <f t="shared" si="10"/>
        <v/>
      </c>
      <c r="F109" s="46" t="str">
        <f t="shared" si="11"/>
        <v/>
      </c>
      <c r="G109" s="47" t="str">
        <f t="shared" si="12"/>
        <v/>
      </c>
      <c r="H109" s="48" t="str">
        <f ca="1" t="shared" si="13"/>
        <v/>
      </c>
      <c r="I109" s="26"/>
    </row>
    <row r="110" ht="36" customHeight="1" spans="1:9">
      <c r="A110" s="42"/>
      <c r="B110" s="43" t="str">
        <f t="shared" si="7"/>
        <v/>
      </c>
      <c r="C110" s="44" t="str">
        <f t="shared" si="8"/>
        <v>[]</v>
      </c>
      <c r="D110" s="45" t="str">
        <f t="shared" si="9"/>
        <v/>
      </c>
      <c r="E110" s="45" t="str">
        <f t="shared" si="10"/>
        <v/>
      </c>
      <c r="F110" s="46" t="str">
        <f t="shared" si="11"/>
        <v/>
      </c>
      <c r="G110" s="47" t="str">
        <f t="shared" si="12"/>
        <v/>
      </c>
      <c r="H110" s="48" t="str">
        <f ca="1" t="shared" si="13"/>
        <v/>
      </c>
      <c r="I110" s="26"/>
    </row>
    <row r="111" ht="36" customHeight="1" spans="1:9">
      <c r="A111" s="42"/>
      <c r="B111" s="43" t="str">
        <f t="shared" si="7"/>
        <v/>
      </c>
      <c r="C111" s="44" t="str">
        <f t="shared" si="8"/>
        <v>[]</v>
      </c>
      <c r="D111" s="45" t="str">
        <f t="shared" si="9"/>
        <v/>
      </c>
      <c r="E111" s="45" t="str">
        <f t="shared" si="10"/>
        <v/>
      </c>
      <c r="F111" s="46" t="str">
        <f t="shared" si="11"/>
        <v/>
      </c>
      <c r="G111" s="47" t="str">
        <f t="shared" si="12"/>
        <v/>
      </c>
      <c r="H111" s="48" t="str">
        <f ca="1" t="shared" si="13"/>
        <v/>
      </c>
      <c r="I111" s="26"/>
    </row>
    <row r="112" ht="36" customHeight="1" spans="1:9">
      <c r="A112" s="42"/>
      <c r="B112" s="43" t="str">
        <f t="shared" si="7"/>
        <v/>
      </c>
      <c r="C112" s="44" t="str">
        <f t="shared" si="8"/>
        <v>[]</v>
      </c>
      <c r="D112" s="45" t="str">
        <f t="shared" si="9"/>
        <v/>
      </c>
      <c r="E112" s="45" t="str">
        <f t="shared" si="10"/>
        <v/>
      </c>
      <c r="F112" s="46" t="str">
        <f t="shared" si="11"/>
        <v/>
      </c>
      <c r="G112" s="47" t="str">
        <f t="shared" si="12"/>
        <v/>
      </c>
      <c r="H112" s="48" t="str">
        <f ca="1" t="shared" si="13"/>
        <v/>
      </c>
      <c r="I112" s="26"/>
    </row>
    <row r="113" ht="36" customHeight="1" spans="1:9">
      <c r="A113" s="42"/>
      <c r="B113" s="43" t="str">
        <f t="shared" si="7"/>
        <v/>
      </c>
      <c r="C113" s="44" t="str">
        <f t="shared" si="8"/>
        <v>[]</v>
      </c>
      <c r="D113" s="45" t="str">
        <f t="shared" si="9"/>
        <v/>
      </c>
      <c r="E113" s="45" t="str">
        <f t="shared" si="10"/>
        <v/>
      </c>
      <c r="F113" s="46" t="str">
        <f t="shared" si="11"/>
        <v/>
      </c>
      <c r="G113" s="47" t="str">
        <f t="shared" si="12"/>
        <v/>
      </c>
      <c r="H113" s="48" t="str">
        <f ca="1" t="shared" si="13"/>
        <v/>
      </c>
      <c r="I113" s="26"/>
    </row>
    <row r="114" ht="36" customHeight="1" spans="1:9">
      <c r="A114" s="42"/>
      <c r="B114" s="43" t="str">
        <f t="shared" si="7"/>
        <v/>
      </c>
      <c r="C114" s="44" t="str">
        <f t="shared" si="8"/>
        <v>[]</v>
      </c>
      <c r="D114" s="45" t="str">
        <f t="shared" si="9"/>
        <v/>
      </c>
      <c r="E114" s="45" t="str">
        <f t="shared" si="10"/>
        <v/>
      </c>
      <c r="F114" s="46" t="str">
        <f t="shared" si="11"/>
        <v/>
      </c>
      <c r="G114" s="47" t="str">
        <f t="shared" si="12"/>
        <v/>
      </c>
      <c r="H114" s="48" t="str">
        <f ca="1" t="shared" si="13"/>
        <v/>
      </c>
      <c r="I114" s="26"/>
    </row>
    <row r="115" ht="36" customHeight="1" spans="1:9">
      <c r="A115" s="42"/>
      <c r="B115" s="43" t="str">
        <f t="shared" si="7"/>
        <v/>
      </c>
      <c r="C115" s="44" t="str">
        <f t="shared" si="8"/>
        <v>[]</v>
      </c>
      <c r="D115" s="45" t="str">
        <f t="shared" si="9"/>
        <v/>
      </c>
      <c r="E115" s="45" t="str">
        <f t="shared" si="10"/>
        <v/>
      </c>
      <c r="F115" s="46" t="str">
        <f t="shared" si="11"/>
        <v/>
      </c>
      <c r="G115" s="47" t="str">
        <f t="shared" si="12"/>
        <v/>
      </c>
      <c r="H115" s="48" t="str">
        <f ca="1" t="shared" si="13"/>
        <v/>
      </c>
      <c r="I115" s="26"/>
    </row>
    <row r="116" ht="36" customHeight="1" spans="1:9">
      <c r="A116" s="42"/>
      <c r="B116" s="43" t="str">
        <f t="shared" si="7"/>
        <v/>
      </c>
      <c r="C116" s="44" t="str">
        <f t="shared" si="8"/>
        <v>[]</v>
      </c>
      <c r="D116" s="45" t="str">
        <f t="shared" si="9"/>
        <v/>
      </c>
      <c r="E116" s="45" t="str">
        <f t="shared" si="10"/>
        <v/>
      </c>
      <c r="F116" s="46" t="str">
        <f t="shared" si="11"/>
        <v/>
      </c>
      <c r="G116" s="47" t="str">
        <f t="shared" si="12"/>
        <v/>
      </c>
      <c r="H116" s="48" t="str">
        <f ca="1" t="shared" si="13"/>
        <v/>
      </c>
      <c r="I116" s="26"/>
    </row>
    <row r="117" ht="36" customHeight="1" spans="1:9">
      <c r="A117" s="42"/>
      <c r="B117" s="43" t="str">
        <f t="shared" si="7"/>
        <v/>
      </c>
      <c r="C117" s="44" t="str">
        <f t="shared" si="8"/>
        <v>[]</v>
      </c>
      <c r="D117" s="45" t="str">
        <f t="shared" si="9"/>
        <v/>
      </c>
      <c r="E117" s="45" t="str">
        <f t="shared" si="10"/>
        <v/>
      </c>
      <c r="F117" s="46" t="str">
        <f t="shared" si="11"/>
        <v/>
      </c>
      <c r="G117" s="47" t="str">
        <f t="shared" si="12"/>
        <v/>
      </c>
      <c r="H117" s="48" t="str">
        <f ca="1" t="shared" si="13"/>
        <v/>
      </c>
      <c r="I117" s="26"/>
    </row>
    <row r="118" ht="36" customHeight="1" spans="1:9">
      <c r="A118" s="42"/>
      <c r="B118" s="43" t="str">
        <f t="shared" si="7"/>
        <v/>
      </c>
      <c r="C118" s="44" t="str">
        <f t="shared" si="8"/>
        <v>[]</v>
      </c>
      <c r="D118" s="45" t="str">
        <f t="shared" si="9"/>
        <v/>
      </c>
      <c r="E118" s="45" t="str">
        <f t="shared" si="10"/>
        <v/>
      </c>
      <c r="F118" s="46" t="str">
        <f t="shared" si="11"/>
        <v/>
      </c>
      <c r="G118" s="47" t="str">
        <f t="shared" si="12"/>
        <v/>
      </c>
      <c r="H118" s="48" t="str">
        <f ca="1" t="shared" si="13"/>
        <v/>
      </c>
      <c r="I118" s="26"/>
    </row>
    <row r="119" ht="36" customHeight="1" spans="1:9">
      <c r="A119" s="42"/>
      <c r="B119" s="43" t="str">
        <f t="shared" si="7"/>
        <v/>
      </c>
      <c r="C119" s="44" t="str">
        <f t="shared" si="8"/>
        <v>[]</v>
      </c>
      <c r="D119" s="45" t="str">
        <f t="shared" si="9"/>
        <v/>
      </c>
      <c r="E119" s="45" t="str">
        <f t="shared" si="10"/>
        <v/>
      </c>
      <c r="F119" s="46" t="str">
        <f t="shared" si="11"/>
        <v/>
      </c>
      <c r="G119" s="47" t="str">
        <f t="shared" si="12"/>
        <v/>
      </c>
      <c r="H119" s="48" t="str">
        <f ca="1" t="shared" si="13"/>
        <v/>
      </c>
      <c r="I119" s="26"/>
    </row>
    <row r="120" ht="36" customHeight="1" spans="1:9">
      <c r="A120" s="42"/>
      <c r="B120" s="43" t="str">
        <f t="shared" si="7"/>
        <v/>
      </c>
      <c r="C120" s="44" t="str">
        <f t="shared" si="8"/>
        <v>[]</v>
      </c>
      <c r="D120" s="45" t="str">
        <f t="shared" si="9"/>
        <v/>
      </c>
      <c r="E120" s="45" t="str">
        <f t="shared" si="10"/>
        <v/>
      </c>
      <c r="F120" s="46" t="str">
        <f t="shared" si="11"/>
        <v/>
      </c>
      <c r="G120" s="47" t="str">
        <f t="shared" si="12"/>
        <v/>
      </c>
      <c r="H120" s="48" t="str">
        <f ca="1" t="shared" si="13"/>
        <v/>
      </c>
      <c r="I120" s="26"/>
    </row>
    <row r="121" ht="36" customHeight="1" spans="1:9">
      <c r="A121" s="42"/>
      <c r="B121" s="43" t="str">
        <f t="shared" si="7"/>
        <v/>
      </c>
      <c r="C121" s="44" t="str">
        <f t="shared" si="8"/>
        <v>[]</v>
      </c>
      <c r="D121" s="45" t="str">
        <f t="shared" si="9"/>
        <v/>
      </c>
      <c r="E121" s="45" t="str">
        <f t="shared" si="10"/>
        <v/>
      </c>
      <c r="F121" s="46" t="str">
        <f t="shared" si="11"/>
        <v/>
      </c>
      <c r="G121" s="47" t="str">
        <f t="shared" si="12"/>
        <v/>
      </c>
      <c r="H121" s="48" t="str">
        <f ca="1" t="shared" si="13"/>
        <v/>
      </c>
      <c r="I121" s="26"/>
    </row>
    <row r="122" ht="36" customHeight="1" spans="1:9">
      <c r="A122" s="42"/>
      <c r="B122" s="43" t="str">
        <f t="shared" si="7"/>
        <v/>
      </c>
      <c r="C122" s="44" t="str">
        <f t="shared" si="8"/>
        <v>[]</v>
      </c>
      <c r="D122" s="45" t="str">
        <f t="shared" si="9"/>
        <v/>
      </c>
      <c r="E122" s="45" t="str">
        <f t="shared" si="10"/>
        <v/>
      </c>
      <c r="F122" s="46" t="str">
        <f t="shared" si="11"/>
        <v/>
      </c>
      <c r="G122" s="47" t="str">
        <f t="shared" si="12"/>
        <v/>
      </c>
      <c r="H122" s="48" t="str">
        <f ca="1" t="shared" si="13"/>
        <v/>
      </c>
      <c r="I122" s="26"/>
    </row>
    <row r="123" ht="36" customHeight="1" spans="1:9">
      <c r="A123" s="42"/>
      <c r="B123" s="43" t="str">
        <f t="shared" si="7"/>
        <v/>
      </c>
      <c r="C123" s="44" t="str">
        <f t="shared" si="8"/>
        <v>[]</v>
      </c>
      <c r="D123" s="45" t="str">
        <f t="shared" si="9"/>
        <v/>
      </c>
      <c r="E123" s="45" t="str">
        <f t="shared" si="10"/>
        <v/>
      </c>
      <c r="F123" s="46" t="str">
        <f t="shared" si="11"/>
        <v/>
      </c>
      <c r="G123" s="47" t="str">
        <f t="shared" si="12"/>
        <v/>
      </c>
      <c r="H123" s="48" t="str">
        <f ca="1" t="shared" si="13"/>
        <v/>
      </c>
      <c r="I123" s="26"/>
    </row>
    <row r="124" ht="36" customHeight="1" spans="1:9">
      <c r="A124" s="42"/>
      <c r="B124" s="43" t="str">
        <f t="shared" si="7"/>
        <v/>
      </c>
      <c r="C124" s="44" t="str">
        <f t="shared" si="8"/>
        <v>[]</v>
      </c>
      <c r="D124" s="45" t="str">
        <f t="shared" si="9"/>
        <v/>
      </c>
      <c r="E124" s="45" t="str">
        <f t="shared" si="10"/>
        <v/>
      </c>
      <c r="F124" s="46" t="str">
        <f t="shared" si="11"/>
        <v/>
      </c>
      <c r="G124" s="47" t="str">
        <f t="shared" si="12"/>
        <v/>
      </c>
      <c r="H124" s="48" t="str">
        <f ca="1" t="shared" si="13"/>
        <v/>
      </c>
      <c r="I124" s="26"/>
    </row>
    <row r="125" ht="36" customHeight="1" spans="1:9">
      <c r="A125" s="42"/>
      <c r="B125" s="43" t="str">
        <f t="shared" si="7"/>
        <v/>
      </c>
      <c r="C125" s="44" t="str">
        <f t="shared" si="8"/>
        <v>[]</v>
      </c>
      <c r="D125" s="45" t="str">
        <f t="shared" si="9"/>
        <v/>
      </c>
      <c r="E125" s="45" t="str">
        <f t="shared" si="10"/>
        <v/>
      </c>
      <c r="F125" s="46" t="str">
        <f t="shared" si="11"/>
        <v/>
      </c>
      <c r="G125" s="47" t="str">
        <f t="shared" si="12"/>
        <v/>
      </c>
      <c r="H125" s="48" t="str">
        <f ca="1" t="shared" si="13"/>
        <v/>
      </c>
      <c r="I125" s="26"/>
    </row>
    <row r="126" ht="36" customHeight="1" spans="1:9">
      <c r="A126" s="42"/>
      <c r="B126" s="43" t="str">
        <f t="shared" si="7"/>
        <v/>
      </c>
      <c r="C126" s="44" t="str">
        <f t="shared" si="8"/>
        <v>[]</v>
      </c>
      <c r="D126" s="45" t="str">
        <f t="shared" si="9"/>
        <v/>
      </c>
      <c r="E126" s="45" t="str">
        <f t="shared" si="10"/>
        <v/>
      </c>
      <c r="F126" s="46" t="str">
        <f t="shared" si="11"/>
        <v/>
      </c>
      <c r="G126" s="47" t="str">
        <f t="shared" si="12"/>
        <v/>
      </c>
      <c r="H126" s="48" t="str">
        <f ca="1" t="shared" si="13"/>
        <v/>
      </c>
      <c r="I126" s="26"/>
    </row>
    <row r="127" ht="36" customHeight="1" spans="1:9">
      <c r="A127" s="42"/>
      <c r="B127" s="43" t="str">
        <f t="shared" si="7"/>
        <v/>
      </c>
      <c r="C127" s="44" t="str">
        <f t="shared" si="8"/>
        <v>[]</v>
      </c>
      <c r="D127" s="45" t="str">
        <f t="shared" si="9"/>
        <v/>
      </c>
      <c r="E127" s="45" t="str">
        <f t="shared" si="10"/>
        <v/>
      </c>
      <c r="F127" s="46" t="str">
        <f t="shared" si="11"/>
        <v/>
      </c>
      <c r="G127" s="47" t="str">
        <f t="shared" si="12"/>
        <v/>
      </c>
      <c r="H127" s="48" t="str">
        <f ca="1" t="shared" si="13"/>
        <v/>
      </c>
      <c r="I127" s="26"/>
    </row>
    <row r="128" ht="36" customHeight="1" spans="1:9">
      <c r="A128" s="42"/>
      <c r="B128" s="43" t="str">
        <f t="shared" si="7"/>
        <v/>
      </c>
      <c r="C128" s="44" t="str">
        <f t="shared" si="8"/>
        <v>[]</v>
      </c>
      <c r="D128" s="45" t="str">
        <f t="shared" si="9"/>
        <v/>
      </c>
      <c r="E128" s="45" t="str">
        <f t="shared" si="10"/>
        <v/>
      </c>
      <c r="F128" s="46" t="str">
        <f t="shared" si="11"/>
        <v/>
      </c>
      <c r="G128" s="47" t="str">
        <f t="shared" si="12"/>
        <v/>
      </c>
      <c r="H128" s="48" t="str">
        <f ca="1" t="shared" si="13"/>
        <v/>
      </c>
      <c r="I128" s="26"/>
    </row>
    <row r="129" ht="36" customHeight="1" spans="1:9">
      <c r="A129" s="42"/>
      <c r="B129" s="43" t="str">
        <f t="shared" ref="B129:B192" si="14">IFERROR("@"&amp;MID(A129,SEARCH("{",A129)+1,SEARCH(",",A129)-SEARCH("{",A129)-1),"")</f>
        <v/>
      </c>
      <c r="C129" s="44" t="str">
        <f t="shared" ref="C129:C192" si="15">"["&amp;B129&amp;"]"</f>
        <v>[]</v>
      </c>
      <c r="D129" s="45" t="str">
        <f t="shared" ref="D129:D192" si="16">IFERROR(MID(A129,SEARCH("year = {",A129)+8,4),"")</f>
        <v/>
      </c>
      <c r="E129" s="45" t="str">
        <f t="shared" ref="E129:E192" si="17">IFERROR(MID(A129,SEARCH("author = {",A129)+10,SEARCH("}",A129,SEARCH("author = {",A129))-SEARCH("author = {",A129)-10),"")</f>
        <v/>
      </c>
      <c r="F129" s="46" t="str">
        <f t="shared" ref="F129:F192" si="18">IFERROR(IF(ISERROR(FIND("title =",A129)),"",MID(A129,FIND("title =",A129)+9,FIND("},",A129,FIND("title =",A129))-FIND("title =",A129)-9)),"")</f>
        <v/>
      </c>
      <c r="G129" s="47" t="str">
        <f t="shared" ref="G129:G192" si="19">IFERROR("https://doi.org/"&amp;MID(A129,SEARCH("doi = {",A129)+7,FIND("}",A129,SEARCH("doi = {",A129))-SEARCH("doi = {",A129)-7),"")</f>
        <v/>
      </c>
      <c r="H129" s="48" t="str">
        <f ca="1" t="shared" ref="H129:H192" si="20">IF(A129&lt;&gt;"",IF(H129&lt;&gt;"",H129,NOW()),"")</f>
        <v/>
      </c>
      <c r="I129" s="26"/>
    </row>
    <row r="130" ht="36" customHeight="1" spans="1:9">
      <c r="A130" s="42"/>
      <c r="B130" s="43" t="str">
        <f t="shared" si="14"/>
        <v/>
      </c>
      <c r="C130" s="44" t="str">
        <f t="shared" si="15"/>
        <v>[]</v>
      </c>
      <c r="D130" s="45" t="str">
        <f t="shared" si="16"/>
        <v/>
      </c>
      <c r="E130" s="45" t="str">
        <f t="shared" si="17"/>
        <v/>
      </c>
      <c r="F130" s="46" t="str">
        <f t="shared" si="18"/>
        <v/>
      </c>
      <c r="G130" s="47" t="str">
        <f t="shared" si="19"/>
        <v/>
      </c>
      <c r="H130" s="48" t="str">
        <f ca="1" t="shared" si="20"/>
        <v/>
      </c>
      <c r="I130" s="26"/>
    </row>
    <row r="131" ht="36" customHeight="1" spans="1:9">
      <c r="A131" s="42"/>
      <c r="B131" s="43" t="str">
        <f t="shared" si="14"/>
        <v/>
      </c>
      <c r="C131" s="44" t="str">
        <f t="shared" si="15"/>
        <v>[]</v>
      </c>
      <c r="D131" s="45" t="str">
        <f t="shared" si="16"/>
        <v/>
      </c>
      <c r="E131" s="45" t="str">
        <f t="shared" si="17"/>
        <v/>
      </c>
      <c r="F131" s="46" t="str">
        <f t="shared" si="18"/>
        <v/>
      </c>
      <c r="G131" s="47" t="str">
        <f t="shared" si="19"/>
        <v/>
      </c>
      <c r="H131" s="48" t="str">
        <f ca="1" t="shared" si="20"/>
        <v/>
      </c>
      <c r="I131" s="26"/>
    </row>
    <row r="132" ht="36" customHeight="1" spans="1:9">
      <c r="A132" s="42"/>
      <c r="B132" s="43" t="str">
        <f t="shared" si="14"/>
        <v/>
      </c>
      <c r="C132" s="44" t="str">
        <f t="shared" si="15"/>
        <v>[]</v>
      </c>
      <c r="D132" s="45" t="str">
        <f t="shared" si="16"/>
        <v/>
      </c>
      <c r="E132" s="45" t="str">
        <f t="shared" si="17"/>
        <v/>
      </c>
      <c r="F132" s="46" t="str">
        <f t="shared" si="18"/>
        <v/>
      </c>
      <c r="G132" s="47" t="str">
        <f t="shared" si="19"/>
        <v/>
      </c>
      <c r="H132" s="48" t="str">
        <f ca="1" t="shared" si="20"/>
        <v/>
      </c>
      <c r="I132" s="26"/>
    </row>
    <row r="133" ht="36" customHeight="1" spans="1:9">
      <c r="A133" s="42"/>
      <c r="B133" s="43" t="str">
        <f t="shared" si="14"/>
        <v/>
      </c>
      <c r="C133" s="44" t="str">
        <f t="shared" si="15"/>
        <v>[]</v>
      </c>
      <c r="D133" s="45" t="str">
        <f t="shared" si="16"/>
        <v/>
      </c>
      <c r="E133" s="45" t="str">
        <f t="shared" si="17"/>
        <v/>
      </c>
      <c r="F133" s="46" t="str">
        <f t="shared" si="18"/>
        <v/>
      </c>
      <c r="G133" s="47" t="str">
        <f t="shared" si="19"/>
        <v/>
      </c>
      <c r="H133" s="48" t="str">
        <f ca="1" t="shared" si="20"/>
        <v/>
      </c>
      <c r="I133" s="26"/>
    </row>
    <row r="134" ht="36" customHeight="1" spans="1:9">
      <c r="A134" s="42"/>
      <c r="B134" s="43" t="str">
        <f t="shared" si="14"/>
        <v/>
      </c>
      <c r="C134" s="44" t="str">
        <f t="shared" si="15"/>
        <v>[]</v>
      </c>
      <c r="D134" s="45" t="str">
        <f t="shared" si="16"/>
        <v/>
      </c>
      <c r="E134" s="45" t="str">
        <f t="shared" si="17"/>
        <v/>
      </c>
      <c r="F134" s="46" t="str">
        <f t="shared" si="18"/>
        <v/>
      </c>
      <c r="G134" s="47" t="str">
        <f t="shared" si="19"/>
        <v/>
      </c>
      <c r="H134" s="48" t="str">
        <f ca="1" t="shared" si="20"/>
        <v/>
      </c>
      <c r="I134" s="26"/>
    </row>
    <row r="135" ht="36" customHeight="1" spans="1:9">
      <c r="A135" s="42"/>
      <c r="B135" s="43" t="str">
        <f t="shared" si="14"/>
        <v/>
      </c>
      <c r="C135" s="44" t="str">
        <f t="shared" si="15"/>
        <v>[]</v>
      </c>
      <c r="D135" s="45" t="str">
        <f t="shared" si="16"/>
        <v/>
      </c>
      <c r="E135" s="45" t="str">
        <f t="shared" si="17"/>
        <v/>
      </c>
      <c r="F135" s="46" t="str">
        <f t="shared" si="18"/>
        <v/>
      </c>
      <c r="G135" s="47" t="str">
        <f t="shared" si="19"/>
        <v/>
      </c>
      <c r="H135" s="48" t="str">
        <f ca="1" t="shared" si="20"/>
        <v/>
      </c>
      <c r="I135" s="26"/>
    </row>
    <row r="136" ht="36" customHeight="1" spans="1:9">
      <c r="A136" s="42"/>
      <c r="B136" s="43" t="str">
        <f t="shared" si="14"/>
        <v/>
      </c>
      <c r="C136" s="44" t="str">
        <f t="shared" si="15"/>
        <v>[]</v>
      </c>
      <c r="D136" s="45" t="str">
        <f t="shared" si="16"/>
        <v/>
      </c>
      <c r="E136" s="45" t="str">
        <f t="shared" si="17"/>
        <v/>
      </c>
      <c r="F136" s="46" t="str">
        <f t="shared" si="18"/>
        <v/>
      </c>
      <c r="G136" s="47" t="str">
        <f t="shared" si="19"/>
        <v/>
      </c>
      <c r="H136" s="48" t="str">
        <f ca="1" t="shared" si="20"/>
        <v/>
      </c>
      <c r="I136" s="26"/>
    </row>
    <row r="137" ht="36" customHeight="1" spans="1:9">
      <c r="A137" s="42"/>
      <c r="B137" s="43" t="str">
        <f t="shared" si="14"/>
        <v/>
      </c>
      <c r="C137" s="44" t="str">
        <f t="shared" si="15"/>
        <v>[]</v>
      </c>
      <c r="D137" s="45" t="str">
        <f t="shared" si="16"/>
        <v/>
      </c>
      <c r="E137" s="45" t="str">
        <f t="shared" si="17"/>
        <v/>
      </c>
      <c r="F137" s="46" t="str">
        <f t="shared" si="18"/>
        <v/>
      </c>
      <c r="G137" s="47" t="str">
        <f t="shared" si="19"/>
        <v/>
      </c>
      <c r="H137" s="48" t="str">
        <f ca="1" t="shared" si="20"/>
        <v/>
      </c>
      <c r="I137" s="26"/>
    </row>
    <row r="138" ht="36" customHeight="1" spans="1:9">
      <c r="A138" s="42"/>
      <c r="B138" s="43" t="str">
        <f t="shared" si="14"/>
        <v/>
      </c>
      <c r="C138" s="44" t="str">
        <f t="shared" si="15"/>
        <v>[]</v>
      </c>
      <c r="D138" s="45" t="str">
        <f t="shared" si="16"/>
        <v/>
      </c>
      <c r="E138" s="45" t="str">
        <f t="shared" si="17"/>
        <v/>
      </c>
      <c r="F138" s="46" t="str">
        <f t="shared" si="18"/>
        <v/>
      </c>
      <c r="G138" s="47" t="str">
        <f t="shared" si="19"/>
        <v/>
      </c>
      <c r="H138" s="48" t="str">
        <f ca="1" t="shared" si="20"/>
        <v/>
      </c>
      <c r="I138" s="26"/>
    </row>
    <row r="139" ht="36" customHeight="1" spans="1:9">
      <c r="A139" s="42"/>
      <c r="B139" s="43" t="str">
        <f t="shared" si="14"/>
        <v/>
      </c>
      <c r="C139" s="44" t="str">
        <f t="shared" si="15"/>
        <v>[]</v>
      </c>
      <c r="D139" s="45" t="str">
        <f t="shared" si="16"/>
        <v/>
      </c>
      <c r="E139" s="45" t="str">
        <f t="shared" si="17"/>
        <v/>
      </c>
      <c r="F139" s="46" t="str">
        <f t="shared" si="18"/>
        <v/>
      </c>
      <c r="G139" s="47" t="str">
        <f t="shared" si="19"/>
        <v/>
      </c>
      <c r="H139" s="48" t="str">
        <f ca="1" t="shared" si="20"/>
        <v/>
      </c>
      <c r="I139" s="26"/>
    </row>
    <row r="140" ht="36" customHeight="1" spans="1:9">
      <c r="A140" s="42"/>
      <c r="B140" s="43" t="str">
        <f t="shared" si="14"/>
        <v/>
      </c>
      <c r="C140" s="44" t="str">
        <f t="shared" si="15"/>
        <v>[]</v>
      </c>
      <c r="D140" s="45" t="str">
        <f t="shared" si="16"/>
        <v/>
      </c>
      <c r="E140" s="45" t="str">
        <f t="shared" si="17"/>
        <v/>
      </c>
      <c r="F140" s="46" t="str">
        <f t="shared" si="18"/>
        <v/>
      </c>
      <c r="G140" s="47" t="str">
        <f t="shared" si="19"/>
        <v/>
      </c>
      <c r="H140" s="48" t="str">
        <f ca="1" t="shared" si="20"/>
        <v/>
      </c>
      <c r="I140" s="26"/>
    </row>
    <row r="141" ht="36" customHeight="1" spans="1:9">
      <c r="A141" s="42"/>
      <c r="B141" s="43" t="str">
        <f t="shared" si="14"/>
        <v/>
      </c>
      <c r="C141" s="44" t="str">
        <f t="shared" si="15"/>
        <v>[]</v>
      </c>
      <c r="D141" s="45" t="str">
        <f t="shared" si="16"/>
        <v/>
      </c>
      <c r="E141" s="45" t="str">
        <f t="shared" si="17"/>
        <v/>
      </c>
      <c r="F141" s="46" t="str">
        <f t="shared" si="18"/>
        <v/>
      </c>
      <c r="G141" s="47" t="str">
        <f t="shared" si="19"/>
        <v/>
      </c>
      <c r="H141" s="48" t="str">
        <f ca="1" t="shared" si="20"/>
        <v/>
      </c>
      <c r="I141" s="26"/>
    </row>
    <row r="142" ht="36" customHeight="1" spans="1:9">
      <c r="A142" s="42"/>
      <c r="B142" s="43" t="str">
        <f t="shared" si="14"/>
        <v/>
      </c>
      <c r="C142" s="44" t="str">
        <f t="shared" si="15"/>
        <v>[]</v>
      </c>
      <c r="D142" s="45" t="str">
        <f t="shared" si="16"/>
        <v/>
      </c>
      <c r="E142" s="45" t="str">
        <f t="shared" si="17"/>
        <v/>
      </c>
      <c r="F142" s="46" t="str">
        <f t="shared" si="18"/>
        <v/>
      </c>
      <c r="G142" s="47" t="str">
        <f t="shared" si="19"/>
        <v/>
      </c>
      <c r="H142" s="48" t="str">
        <f ca="1" t="shared" si="20"/>
        <v/>
      </c>
      <c r="I142" s="26"/>
    </row>
    <row r="143" ht="36" customHeight="1" spans="1:9">
      <c r="A143" s="42"/>
      <c r="B143" s="43" t="str">
        <f t="shared" si="14"/>
        <v/>
      </c>
      <c r="C143" s="44" t="str">
        <f t="shared" si="15"/>
        <v>[]</v>
      </c>
      <c r="D143" s="45" t="str">
        <f t="shared" si="16"/>
        <v/>
      </c>
      <c r="E143" s="45" t="str">
        <f t="shared" si="17"/>
        <v/>
      </c>
      <c r="F143" s="46" t="str">
        <f t="shared" si="18"/>
        <v/>
      </c>
      <c r="G143" s="47" t="str">
        <f t="shared" si="19"/>
        <v/>
      </c>
      <c r="H143" s="48" t="str">
        <f ca="1" t="shared" si="20"/>
        <v/>
      </c>
      <c r="I143" s="26"/>
    </row>
    <row r="144" ht="36" customHeight="1" spans="1:9">
      <c r="A144" s="42"/>
      <c r="B144" s="43" t="str">
        <f t="shared" si="14"/>
        <v/>
      </c>
      <c r="C144" s="44" t="str">
        <f t="shared" si="15"/>
        <v>[]</v>
      </c>
      <c r="D144" s="45" t="str">
        <f t="shared" si="16"/>
        <v/>
      </c>
      <c r="E144" s="45" t="str">
        <f t="shared" si="17"/>
        <v/>
      </c>
      <c r="F144" s="46" t="str">
        <f t="shared" si="18"/>
        <v/>
      </c>
      <c r="G144" s="47" t="str">
        <f t="shared" si="19"/>
        <v/>
      </c>
      <c r="H144" s="48" t="str">
        <f ca="1" t="shared" si="20"/>
        <v/>
      </c>
      <c r="I144" s="26"/>
    </row>
    <row r="145" ht="36" customHeight="1" spans="1:9">
      <c r="A145" s="42"/>
      <c r="B145" s="43" t="str">
        <f t="shared" si="14"/>
        <v/>
      </c>
      <c r="C145" s="44" t="str">
        <f t="shared" si="15"/>
        <v>[]</v>
      </c>
      <c r="D145" s="45" t="str">
        <f t="shared" si="16"/>
        <v/>
      </c>
      <c r="E145" s="45" t="str">
        <f t="shared" si="17"/>
        <v/>
      </c>
      <c r="F145" s="46" t="str">
        <f t="shared" si="18"/>
        <v/>
      </c>
      <c r="G145" s="47" t="str">
        <f t="shared" si="19"/>
        <v/>
      </c>
      <c r="H145" s="48" t="str">
        <f ca="1" t="shared" si="20"/>
        <v/>
      </c>
      <c r="I145" s="26"/>
    </row>
    <row r="146" ht="36" customHeight="1" spans="1:9">
      <c r="A146" s="42"/>
      <c r="B146" s="43" t="str">
        <f t="shared" si="14"/>
        <v/>
      </c>
      <c r="C146" s="44" t="str">
        <f t="shared" si="15"/>
        <v>[]</v>
      </c>
      <c r="D146" s="45" t="str">
        <f t="shared" si="16"/>
        <v/>
      </c>
      <c r="E146" s="45" t="str">
        <f t="shared" si="17"/>
        <v/>
      </c>
      <c r="F146" s="46" t="str">
        <f t="shared" si="18"/>
        <v/>
      </c>
      <c r="G146" s="47" t="str">
        <f t="shared" si="19"/>
        <v/>
      </c>
      <c r="H146" s="48" t="str">
        <f ca="1" t="shared" si="20"/>
        <v/>
      </c>
      <c r="I146" s="26"/>
    </row>
    <row r="147" ht="36" customHeight="1" spans="1:9">
      <c r="A147" s="42"/>
      <c r="B147" s="43" t="str">
        <f t="shared" si="14"/>
        <v/>
      </c>
      <c r="C147" s="44" t="str">
        <f t="shared" si="15"/>
        <v>[]</v>
      </c>
      <c r="D147" s="45" t="str">
        <f t="shared" si="16"/>
        <v/>
      </c>
      <c r="E147" s="45" t="str">
        <f t="shared" si="17"/>
        <v/>
      </c>
      <c r="F147" s="46" t="str">
        <f t="shared" si="18"/>
        <v/>
      </c>
      <c r="G147" s="47" t="str">
        <f t="shared" si="19"/>
        <v/>
      </c>
      <c r="H147" s="48" t="str">
        <f ca="1" t="shared" si="20"/>
        <v/>
      </c>
      <c r="I147" s="26"/>
    </row>
    <row r="148" ht="36" customHeight="1" spans="1:9">
      <c r="A148" s="42"/>
      <c r="B148" s="43" t="str">
        <f t="shared" si="14"/>
        <v/>
      </c>
      <c r="C148" s="44" t="str">
        <f t="shared" si="15"/>
        <v>[]</v>
      </c>
      <c r="D148" s="45" t="str">
        <f t="shared" si="16"/>
        <v/>
      </c>
      <c r="E148" s="45" t="str">
        <f t="shared" si="17"/>
        <v/>
      </c>
      <c r="F148" s="46" t="str">
        <f t="shared" si="18"/>
        <v/>
      </c>
      <c r="G148" s="47" t="str">
        <f t="shared" si="19"/>
        <v/>
      </c>
      <c r="H148" s="48" t="str">
        <f ca="1" t="shared" si="20"/>
        <v/>
      </c>
      <c r="I148" s="26"/>
    </row>
    <row r="149" ht="36" customHeight="1" spans="1:9">
      <c r="A149" s="42"/>
      <c r="B149" s="43" t="str">
        <f t="shared" si="14"/>
        <v/>
      </c>
      <c r="C149" s="44" t="str">
        <f t="shared" si="15"/>
        <v>[]</v>
      </c>
      <c r="D149" s="45" t="str">
        <f t="shared" si="16"/>
        <v/>
      </c>
      <c r="E149" s="45" t="str">
        <f t="shared" si="17"/>
        <v/>
      </c>
      <c r="F149" s="46" t="str">
        <f t="shared" si="18"/>
        <v/>
      </c>
      <c r="G149" s="47" t="str">
        <f t="shared" si="19"/>
        <v/>
      </c>
      <c r="H149" s="48" t="str">
        <f ca="1" t="shared" si="20"/>
        <v/>
      </c>
      <c r="I149" s="26"/>
    </row>
    <row r="150" ht="36" customHeight="1" spans="1:9">
      <c r="A150" s="42"/>
      <c r="B150" s="43" t="str">
        <f t="shared" si="14"/>
        <v/>
      </c>
      <c r="C150" s="44" t="str">
        <f t="shared" si="15"/>
        <v>[]</v>
      </c>
      <c r="D150" s="45" t="str">
        <f t="shared" si="16"/>
        <v/>
      </c>
      <c r="E150" s="45" t="str">
        <f t="shared" si="17"/>
        <v/>
      </c>
      <c r="F150" s="46" t="str">
        <f t="shared" si="18"/>
        <v/>
      </c>
      <c r="G150" s="47" t="str">
        <f t="shared" si="19"/>
        <v/>
      </c>
      <c r="H150" s="48" t="str">
        <f ca="1" t="shared" si="20"/>
        <v/>
      </c>
      <c r="I150" s="26"/>
    </row>
    <row r="151" ht="36" customHeight="1" spans="1:9">
      <c r="A151" s="42"/>
      <c r="B151" s="43" t="str">
        <f t="shared" si="14"/>
        <v/>
      </c>
      <c r="C151" s="44" t="str">
        <f t="shared" si="15"/>
        <v>[]</v>
      </c>
      <c r="D151" s="45" t="str">
        <f t="shared" si="16"/>
        <v/>
      </c>
      <c r="E151" s="45" t="str">
        <f t="shared" si="17"/>
        <v/>
      </c>
      <c r="F151" s="46" t="str">
        <f t="shared" si="18"/>
        <v/>
      </c>
      <c r="G151" s="47" t="str">
        <f t="shared" si="19"/>
        <v/>
      </c>
      <c r="H151" s="48" t="str">
        <f ca="1" t="shared" si="20"/>
        <v/>
      </c>
      <c r="I151" s="26"/>
    </row>
    <row r="152" ht="36" customHeight="1" spans="1:9">
      <c r="A152" s="42"/>
      <c r="B152" s="43" t="str">
        <f t="shared" si="14"/>
        <v/>
      </c>
      <c r="C152" s="44" t="str">
        <f t="shared" si="15"/>
        <v>[]</v>
      </c>
      <c r="D152" s="45" t="str">
        <f t="shared" si="16"/>
        <v/>
      </c>
      <c r="E152" s="45" t="str">
        <f t="shared" si="17"/>
        <v/>
      </c>
      <c r="F152" s="46" t="str">
        <f t="shared" si="18"/>
        <v/>
      </c>
      <c r="G152" s="47" t="str">
        <f t="shared" si="19"/>
        <v/>
      </c>
      <c r="H152" s="48" t="str">
        <f ca="1" t="shared" si="20"/>
        <v/>
      </c>
      <c r="I152" s="26"/>
    </row>
    <row r="153" ht="36" customHeight="1" spans="1:9">
      <c r="A153" s="42"/>
      <c r="B153" s="43" t="str">
        <f t="shared" si="14"/>
        <v/>
      </c>
      <c r="C153" s="44" t="str">
        <f t="shared" si="15"/>
        <v>[]</v>
      </c>
      <c r="D153" s="45" t="str">
        <f t="shared" si="16"/>
        <v/>
      </c>
      <c r="E153" s="45" t="str">
        <f t="shared" si="17"/>
        <v/>
      </c>
      <c r="F153" s="46" t="str">
        <f t="shared" si="18"/>
        <v/>
      </c>
      <c r="G153" s="47" t="str">
        <f t="shared" si="19"/>
        <v/>
      </c>
      <c r="H153" s="48" t="str">
        <f ca="1" t="shared" si="20"/>
        <v/>
      </c>
      <c r="I153" s="26"/>
    </row>
    <row r="154" ht="36" customHeight="1" spans="1:9">
      <c r="A154" s="42"/>
      <c r="B154" s="43" t="str">
        <f t="shared" si="14"/>
        <v/>
      </c>
      <c r="C154" s="44" t="str">
        <f t="shared" si="15"/>
        <v>[]</v>
      </c>
      <c r="D154" s="45" t="str">
        <f t="shared" si="16"/>
        <v/>
      </c>
      <c r="E154" s="45" t="str">
        <f t="shared" si="17"/>
        <v/>
      </c>
      <c r="F154" s="46" t="str">
        <f t="shared" si="18"/>
        <v/>
      </c>
      <c r="G154" s="47" t="str">
        <f t="shared" si="19"/>
        <v/>
      </c>
      <c r="H154" s="48" t="str">
        <f ca="1" t="shared" si="20"/>
        <v/>
      </c>
      <c r="I154" s="26"/>
    </row>
    <row r="155" ht="36" customHeight="1" spans="1:9">
      <c r="A155" s="42"/>
      <c r="B155" s="43" t="str">
        <f t="shared" si="14"/>
        <v/>
      </c>
      <c r="C155" s="44" t="str">
        <f t="shared" si="15"/>
        <v>[]</v>
      </c>
      <c r="D155" s="45" t="str">
        <f t="shared" si="16"/>
        <v/>
      </c>
      <c r="E155" s="45" t="str">
        <f t="shared" si="17"/>
        <v/>
      </c>
      <c r="F155" s="46" t="str">
        <f t="shared" si="18"/>
        <v/>
      </c>
      <c r="G155" s="47" t="str">
        <f t="shared" si="19"/>
        <v/>
      </c>
      <c r="H155" s="48" t="str">
        <f ca="1" t="shared" si="20"/>
        <v/>
      </c>
      <c r="I155" s="26"/>
    </row>
    <row r="156" ht="36" customHeight="1" spans="1:9">
      <c r="A156" s="42"/>
      <c r="B156" s="43" t="str">
        <f t="shared" si="14"/>
        <v/>
      </c>
      <c r="C156" s="44" t="str">
        <f t="shared" si="15"/>
        <v>[]</v>
      </c>
      <c r="D156" s="45" t="str">
        <f t="shared" si="16"/>
        <v/>
      </c>
      <c r="E156" s="45" t="str">
        <f t="shared" si="17"/>
        <v/>
      </c>
      <c r="F156" s="46" t="str">
        <f t="shared" si="18"/>
        <v/>
      </c>
      <c r="G156" s="47" t="str">
        <f t="shared" si="19"/>
        <v/>
      </c>
      <c r="H156" s="48" t="str">
        <f ca="1" t="shared" si="20"/>
        <v/>
      </c>
      <c r="I156" s="26"/>
    </row>
    <row r="157" ht="36" customHeight="1" spans="1:9">
      <c r="A157" s="42"/>
      <c r="B157" s="43" t="str">
        <f t="shared" si="14"/>
        <v/>
      </c>
      <c r="C157" s="44" t="str">
        <f t="shared" si="15"/>
        <v>[]</v>
      </c>
      <c r="D157" s="45" t="str">
        <f t="shared" si="16"/>
        <v/>
      </c>
      <c r="E157" s="45" t="str">
        <f t="shared" si="17"/>
        <v/>
      </c>
      <c r="F157" s="46" t="str">
        <f t="shared" si="18"/>
        <v/>
      </c>
      <c r="G157" s="47" t="str">
        <f t="shared" si="19"/>
        <v/>
      </c>
      <c r="H157" s="48" t="str">
        <f ca="1" t="shared" si="20"/>
        <v/>
      </c>
      <c r="I157" s="26"/>
    </row>
    <row r="158" ht="36" customHeight="1" spans="1:9">
      <c r="A158" s="42"/>
      <c r="B158" s="43" t="str">
        <f t="shared" si="14"/>
        <v/>
      </c>
      <c r="C158" s="44" t="str">
        <f t="shared" si="15"/>
        <v>[]</v>
      </c>
      <c r="D158" s="45" t="str">
        <f t="shared" si="16"/>
        <v/>
      </c>
      <c r="E158" s="45" t="str">
        <f t="shared" si="17"/>
        <v/>
      </c>
      <c r="F158" s="46" t="str">
        <f t="shared" si="18"/>
        <v/>
      </c>
      <c r="G158" s="47" t="str">
        <f t="shared" si="19"/>
        <v/>
      </c>
      <c r="H158" s="48" t="str">
        <f ca="1" t="shared" si="20"/>
        <v/>
      </c>
      <c r="I158" s="26"/>
    </row>
    <row r="159" ht="36" customHeight="1" spans="1:9">
      <c r="A159" s="42"/>
      <c r="B159" s="43" t="str">
        <f t="shared" si="14"/>
        <v/>
      </c>
      <c r="C159" s="44" t="str">
        <f t="shared" si="15"/>
        <v>[]</v>
      </c>
      <c r="D159" s="45" t="str">
        <f t="shared" si="16"/>
        <v/>
      </c>
      <c r="E159" s="45" t="str">
        <f t="shared" si="17"/>
        <v/>
      </c>
      <c r="F159" s="46" t="str">
        <f t="shared" si="18"/>
        <v/>
      </c>
      <c r="G159" s="47" t="str">
        <f t="shared" si="19"/>
        <v/>
      </c>
      <c r="H159" s="48" t="str">
        <f ca="1" t="shared" si="20"/>
        <v/>
      </c>
      <c r="I159" s="26"/>
    </row>
    <row r="160" ht="36" customHeight="1" spans="1:9">
      <c r="A160" s="42"/>
      <c r="B160" s="43" t="str">
        <f t="shared" si="14"/>
        <v/>
      </c>
      <c r="C160" s="44" t="str">
        <f t="shared" si="15"/>
        <v>[]</v>
      </c>
      <c r="D160" s="45" t="str">
        <f t="shared" si="16"/>
        <v/>
      </c>
      <c r="E160" s="45" t="str">
        <f t="shared" si="17"/>
        <v/>
      </c>
      <c r="F160" s="46" t="str">
        <f t="shared" si="18"/>
        <v/>
      </c>
      <c r="G160" s="47" t="str">
        <f t="shared" si="19"/>
        <v/>
      </c>
      <c r="H160" s="48" t="str">
        <f ca="1" t="shared" si="20"/>
        <v/>
      </c>
      <c r="I160" s="26"/>
    </row>
    <row r="161" ht="36" customHeight="1" spans="1:9">
      <c r="A161" s="42"/>
      <c r="B161" s="43" t="str">
        <f t="shared" si="14"/>
        <v/>
      </c>
      <c r="C161" s="44" t="str">
        <f t="shared" si="15"/>
        <v>[]</v>
      </c>
      <c r="D161" s="45" t="str">
        <f t="shared" si="16"/>
        <v/>
      </c>
      <c r="E161" s="45" t="str">
        <f t="shared" si="17"/>
        <v/>
      </c>
      <c r="F161" s="46" t="str">
        <f t="shared" si="18"/>
        <v/>
      </c>
      <c r="G161" s="47" t="str">
        <f t="shared" si="19"/>
        <v/>
      </c>
      <c r="H161" s="48" t="str">
        <f ca="1" t="shared" si="20"/>
        <v/>
      </c>
      <c r="I161" s="26"/>
    </row>
    <row r="162" ht="36" customHeight="1" spans="1:9">
      <c r="A162" s="42"/>
      <c r="B162" s="43" t="str">
        <f t="shared" si="14"/>
        <v/>
      </c>
      <c r="C162" s="44" t="str">
        <f t="shared" si="15"/>
        <v>[]</v>
      </c>
      <c r="D162" s="45" t="str">
        <f t="shared" si="16"/>
        <v/>
      </c>
      <c r="E162" s="45" t="str">
        <f t="shared" si="17"/>
        <v/>
      </c>
      <c r="F162" s="46" t="str">
        <f t="shared" si="18"/>
        <v/>
      </c>
      <c r="G162" s="47" t="str">
        <f t="shared" si="19"/>
        <v/>
      </c>
      <c r="H162" s="48" t="str">
        <f ca="1" t="shared" si="20"/>
        <v/>
      </c>
      <c r="I162" s="26"/>
    </row>
    <row r="163" ht="36" customHeight="1" spans="1:9">
      <c r="A163" s="42"/>
      <c r="B163" s="43" t="str">
        <f t="shared" si="14"/>
        <v/>
      </c>
      <c r="C163" s="44" t="str">
        <f t="shared" si="15"/>
        <v>[]</v>
      </c>
      <c r="D163" s="45" t="str">
        <f t="shared" si="16"/>
        <v/>
      </c>
      <c r="E163" s="45" t="str">
        <f t="shared" si="17"/>
        <v/>
      </c>
      <c r="F163" s="46" t="str">
        <f t="shared" si="18"/>
        <v/>
      </c>
      <c r="G163" s="47" t="str">
        <f t="shared" si="19"/>
        <v/>
      </c>
      <c r="H163" s="48" t="str">
        <f ca="1" t="shared" si="20"/>
        <v/>
      </c>
      <c r="I163" s="26"/>
    </row>
    <row r="164" ht="36" customHeight="1" spans="1:9">
      <c r="A164" s="42"/>
      <c r="B164" s="43" t="str">
        <f t="shared" si="14"/>
        <v/>
      </c>
      <c r="C164" s="44" t="str">
        <f t="shared" si="15"/>
        <v>[]</v>
      </c>
      <c r="D164" s="45" t="str">
        <f t="shared" si="16"/>
        <v/>
      </c>
      <c r="E164" s="45" t="str">
        <f t="shared" si="17"/>
        <v/>
      </c>
      <c r="F164" s="46" t="str">
        <f t="shared" si="18"/>
        <v/>
      </c>
      <c r="G164" s="47" t="str">
        <f t="shared" si="19"/>
        <v/>
      </c>
      <c r="H164" s="48" t="str">
        <f ca="1" t="shared" si="20"/>
        <v/>
      </c>
      <c r="I164" s="26"/>
    </row>
    <row r="165" ht="36" customHeight="1" spans="1:9">
      <c r="A165" s="42"/>
      <c r="B165" s="43" t="str">
        <f t="shared" si="14"/>
        <v/>
      </c>
      <c r="C165" s="44" t="str">
        <f t="shared" si="15"/>
        <v>[]</v>
      </c>
      <c r="D165" s="45" t="str">
        <f t="shared" si="16"/>
        <v/>
      </c>
      <c r="E165" s="45" t="str">
        <f t="shared" si="17"/>
        <v/>
      </c>
      <c r="F165" s="46" t="str">
        <f t="shared" si="18"/>
        <v/>
      </c>
      <c r="G165" s="47" t="str">
        <f t="shared" si="19"/>
        <v/>
      </c>
      <c r="H165" s="48" t="str">
        <f ca="1" t="shared" si="20"/>
        <v/>
      </c>
      <c r="I165" s="26"/>
    </row>
    <row r="166" ht="36" customHeight="1" spans="1:9">
      <c r="A166" s="42"/>
      <c r="B166" s="43" t="str">
        <f t="shared" si="14"/>
        <v/>
      </c>
      <c r="C166" s="44" t="str">
        <f t="shared" si="15"/>
        <v>[]</v>
      </c>
      <c r="D166" s="45" t="str">
        <f t="shared" si="16"/>
        <v/>
      </c>
      <c r="E166" s="45" t="str">
        <f t="shared" si="17"/>
        <v/>
      </c>
      <c r="F166" s="46" t="str">
        <f t="shared" si="18"/>
        <v/>
      </c>
      <c r="G166" s="47" t="str">
        <f t="shared" si="19"/>
        <v/>
      </c>
      <c r="H166" s="48" t="str">
        <f ca="1" t="shared" si="20"/>
        <v/>
      </c>
      <c r="I166" s="26"/>
    </row>
    <row r="167" ht="36" customHeight="1" spans="1:9">
      <c r="A167" s="42"/>
      <c r="B167" s="43" t="str">
        <f t="shared" si="14"/>
        <v/>
      </c>
      <c r="C167" s="44" t="str">
        <f t="shared" si="15"/>
        <v>[]</v>
      </c>
      <c r="D167" s="45" t="str">
        <f t="shared" si="16"/>
        <v/>
      </c>
      <c r="E167" s="45" t="str">
        <f t="shared" si="17"/>
        <v/>
      </c>
      <c r="F167" s="46" t="str">
        <f t="shared" si="18"/>
        <v/>
      </c>
      <c r="G167" s="47" t="str">
        <f t="shared" si="19"/>
        <v/>
      </c>
      <c r="H167" s="48" t="str">
        <f ca="1" t="shared" si="20"/>
        <v/>
      </c>
      <c r="I167" s="26"/>
    </row>
    <row r="168" ht="36" customHeight="1" spans="1:9">
      <c r="A168" s="42"/>
      <c r="B168" s="43" t="str">
        <f t="shared" si="14"/>
        <v/>
      </c>
      <c r="C168" s="44" t="str">
        <f t="shared" si="15"/>
        <v>[]</v>
      </c>
      <c r="D168" s="45" t="str">
        <f t="shared" si="16"/>
        <v/>
      </c>
      <c r="E168" s="45" t="str">
        <f t="shared" si="17"/>
        <v/>
      </c>
      <c r="F168" s="46" t="str">
        <f t="shared" si="18"/>
        <v/>
      </c>
      <c r="G168" s="47" t="str">
        <f t="shared" si="19"/>
        <v/>
      </c>
      <c r="H168" s="48" t="str">
        <f ca="1" t="shared" si="20"/>
        <v/>
      </c>
      <c r="I168" s="26"/>
    </row>
    <row r="169" ht="36" customHeight="1" spans="1:9">
      <c r="A169" s="42"/>
      <c r="B169" s="43" t="str">
        <f t="shared" si="14"/>
        <v/>
      </c>
      <c r="C169" s="44" t="str">
        <f t="shared" si="15"/>
        <v>[]</v>
      </c>
      <c r="D169" s="45" t="str">
        <f t="shared" si="16"/>
        <v/>
      </c>
      <c r="E169" s="45" t="str">
        <f t="shared" si="17"/>
        <v/>
      </c>
      <c r="F169" s="46" t="str">
        <f t="shared" si="18"/>
        <v/>
      </c>
      <c r="G169" s="47" t="str">
        <f t="shared" si="19"/>
        <v/>
      </c>
      <c r="H169" s="48" t="str">
        <f ca="1" t="shared" si="20"/>
        <v/>
      </c>
      <c r="I169" s="26"/>
    </row>
    <row r="170" ht="36" customHeight="1" spans="1:9">
      <c r="A170" s="42"/>
      <c r="B170" s="43" t="str">
        <f t="shared" si="14"/>
        <v/>
      </c>
      <c r="C170" s="44" t="str">
        <f t="shared" si="15"/>
        <v>[]</v>
      </c>
      <c r="D170" s="45" t="str">
        <f t="shared" si="16"/>
        <v/>
      </c>
      <c r="E170" s="45" t="str">
        <f t="shared" si="17"/>
        <v/>
      </c>
      <c r="F170" s="46" t="str">
        <f t="shared" si="18"/>
        <v/>
      </c>
      <c r="G170" s="47" t="str">
        <f t="shared" si="19"/>
        <v/>
      </c>
      <c r="H170" s="48" t="str">
        <f ca="1" t="shared" si="20"/>
        <v/>
      </c>
      <c r="I170" s="26"/>
    </row>
    <row r="171" ht="36" customHeight="1" spans="1:9">
      <c r="A171" s="42"/>
      <c r="B171" s="43" t="str">
        <f t="shared" si="14"/>
        <v/>
      </c>
      <c r="C171" s="44" t="str">
        <f t="shared" si="15"/>
        <v>[]</v>
      </c>
      <c r="D171" s="45" t="str">
        <f t="shared" si="16"/>
        <v/>
      </c>
      <c r="E171" s="45" t="str">
        <f t="shared" si="17"/>
        <v/>
      </c>
      <c r="F171" s="46" t="str">
        <f t="shared" si="18"/>
        <v/>
      </c>
      <c r="G171" s="47" t="str">
        <f t="shared" si="19"/>
        <v/>
      </c>
      <c r="H171" s="48" t="str">
        <f ca="1" t="shared" si="20"/>
        <v/>
      </c>
      <c r="I171" s="26"/>
    </row>
    <row r="172" ht="36" customHeight="1" spans="1:9">
      <c r="A172" s="42"/>
      <c r="B172" s="43" t="str">
        <f t="shared" si="14"/>
        <v/>
      </c>
      <c r="C172" s="44" t="str">
        <f t="shared" si="15"/>
        <v>[]</v>
      </c>
      <c r="D172" s="45" t="str">
        <f t="shared" si="16"/>
        <v/>
      </c>
      <c r="E172" s="45" t="str">
        <f t="shared" si="17"/>
        <v/>
      </c>
      <c r="F172" s="46" t="str">
        <f t="shared" si="18"/>
        <v/>
      </c>
      <c r="G172" s="47" t="str">
        <f t="shared" si="19"/>
        <v/>
      </c>
      <c r="H172" s="48" t="str">
        <f ca="1" t="shared" si="20"/>
        <v/>
      </c>
      <c r="I172" s="26"/>
    </row>
    <row r="173" ht="36" customHeight="1" spans="1:9">
      <c r="A173" s="42"/>
      <c r="B173" s="43" t="str">
        <f t="shared" si="14"/>
        <v/>
      </c>
      <c r="C173" s="44" t="str">
        <f t="shared" si="15"/>
        <v>[]</v>
      </c>
      <c r="D173" s="45" t="str">
        <f t="shared" si="16"/>
        <v/>
      </c>
      <c r="E173" s="45" t="str">
        <f t="shared" si="17"/>
        <v/>
      </c>
      <c r="F173" s="46" t="str">
        <f t="shared" si="18"/>
        <v/>
      </c>
      <c r="G173" s="47" t="str">
        <f t="shared" si="19"/>
        <v/>
      </c>
      <c r="H173" s="48" t="str">
        <f ca="1" t="shared" si="20"/>
        <v/>
      </c>
      <c r="I173" s="26"/>
    </row>
    <row r="174" ht="36" customHeight="1" spans="1:9">
      <c r="A174" s="42"/>
      <c r="B174" s="43" t="str">
        <f t="shared" si="14"/>
        <v/>
      </c>
      <c r="C174" s="44" t="str">
        <f t="shared" si="15"/>
        <v>[]</v>
      </c>
      <c r="D174" s="45" t="str">
        <f t="shared" si="16"/>
        <v/>
      </c>
      <c r="E174" s="45" t="str">
        <f t="shared" si="17"/>
        <v/>
      </c>
      <c r="F174" s="46" t="str">
        <f t="shared" si="18"/>
        <v/>
      </c>
      <c r="G174" s="47" t="str">
        <f t="shared" si="19"/>
        <v/>
      </c>
      <c r="H174" s="48" t="str">
        <f ca="1" t="shared" si="20"/>
        <v/>
      </c>
      <c r="I174" s="26"/>
    </row>
    <row r="175" ht="36" customHeight="1" spans="1:9">
      <c r="A175" s="42"/>
      <c r="B175" s="43" t="str">
        <f t="shared" si="14"/>
        <v/>
      </c>
      <c r="C175" s="44" t="str">
        <f t="shared" si="15"/>
        <v>[]</v>
      </c>
      <c r="D175" s="45" t="str">
        <f t="shared" si="16"/>
        <v/>
      </c>
      <c r="E175" s="45" t="str">
        <f t="shared" si="17"/>
        <v/>
      </c>
      <c r="F175" s="46" t="str">
        <f t="shared" si="18"/>
        <v/>
      </c>
      <c r="G175" s="47" t="str">
        <f t="shared" si="19"/>
        <v/>
      </c>
      <c r="H175" s="48" t="str">
        <f ca="1" t="shared" si="20"/>
        <v/>
      </c>
      <c r="I175" s="26"/>
    </row>
    <row r="176" ht="36" customHeight="1" spans="1:9">
      <c r="A176" s="42"/>
      <c r="B176" s="43" t="str">
        <f t="shared" si="14"/>
        <v/>
      </c>
      <c r="C176" s="44" t="str">
        <f t="shared" si="15"/>
        <v>[]</v>
      </c>
      <c r="D176" s="45" t="str">
        <f t="shared" si="16"/>
        <v/>
      </c>
      <c r="E176" s="45" t="str">
        <f t="shared" si="17"/>
        <v/>
      </c>
      <c r="F176" s="46" t="str">
        <f t="shared" si="18"/>
        <v/>
      </c>
      <c r="G176" s="47" t="str">
        <f t="shared" si="19"/>
        <v/>
      </c>
      <c r="H176" s="48" t="str">
        <f ca="1" t="shared" si="20"/>
        <v/>
      </c>
      <c r="I176" s="26"/>
    </row>
    <row r="177" ht="36" customHeight="1" spans="1:9">
      <c r="A177" s="42"/>
      <c r="B177" s="43" t="str">
        <f t="shared" si="14"/>
        <v/>
      </c>
      <c r="C177" s="44" t="str">
        <f t="shared" si="15"/>
        <v>[]</v>
      </c>
      <c r="D177" s="45" t="str">
        <f t="shared" si="16"/>
        <v/>
      </c>
      <c r="E177" s="45" t="str">
        <f t="shared" si="17"/>
        <v/>
      </c>
      <c r="F177" s="46" t="str">
        <f t="shared" si="18"/>
        <v/>
      </c>
      <c r="G177" s="47" t="str">
        <f t="shared" si="19"/>
        <v/>
      </c>
      <c r="H177" s="48" t="str">
        <f ca="1" t="shared" si="20"/>
        <v/>
      </c>
      <c r="I177" s="26"/>
    </row>
    <row r="178" ht="36" customHeight="1" spans="1:9">
      <c r="A178" s="42"/>
      <c r="B178" s="43" t="str">
        <f t="shared" si="14"/>
        <v/>
      </c>
      <c r="C178" s="44" t="str">
        <f t="shared" si="15"/>
        <v>[]</v>
      </c>
      <c r="D178" s="45" t="str">
        <f t="shared" si="16"/>
        <v/>
      </c>
      <c r="E178" s="45" t="str">
        <f t="shared" si="17"/>
        <v/>
      </c>
      <c r="F178" s="46" t="str">
        <f t="shared" si="18"/>
        <v/>
      </c>
      <c r="G178" s="47" t="str">
        <f t="shared" si="19"/>
        <v/>
      </c>
      <c r="H178" s="48" t="str">
        <f ca="1" t="shared" si="20"/>
        <v/>
      </c>
      <c r="I178" s="26"/>
    </row>
    <row r="179" ht="36" customHeight="1" spans="1:9">
      <c r="A179" s="42"/>
      <c r="B179" s="43" t="str">
        <f t="shared" si="14"/>
        <v/>
      </c>
      <c r="C179" s="44" t="str">
        <f t="shared" si="15"/>
        <v>[]</v>
      </c>
      <c r="D179" s="45" t="str">
        <f t="shared" si="16"/>
        <v/>
      </c>
      <c r="E179" s="45" t="str">
        <f t="shared" si="17"/>
        <v/>
      </c>
      <c r="F179" s="46" t="str">
        <f t="shared" si="18"/>
        <v/>
      </c>
      <c r="G179" s="47" t="str">
        <f t="shared" si="19"/>
        <v/>
      </c>
      <c r="H179" s="48" t="str">
        <f ca="1" t="shared" si="20"/>
        <v/>
      </c>
      <c r="I179" s="26"/>
    </row>
    <row r="180" ht="36" customHeight="1" spans="1:9">
      <c r="A180" s="42"/>
      <c r="B180" s="43" t="str">
        <f t="shared" si="14"/>
        <v/>
      </c>
      <c r="C180" s="44" t="str">
        <f t="shared" si="15"/>
        <v>[]</v>
      </c>
      <c r="D180" s="45" t="str">
        <f t="shared" si="16"/>
        <v/>
      </c>
      <c r="E180" s="45" t="str">
        <f t="shared" si="17"/>
        <v/>
      </c>
      <c r="F180" s="46" t="str">
        <f t="shared" si="18"/>
        <v/>
      </c>
      <c r="G180" s="47" t="str">
        <f t="shared" si="19"/>
        <v/>
      </c>
      <c r="H180" s="48" t="str">
        <f ca="1" t="shared" si="20"/>
        <v/>
      </c>
      <c r="I180" s="26"/>
    </row>
    <row r="181" ht="36" customHeight="1" spans="1:9">
      <c r="A181" s="42"/>
      <c r="B181" s="43" t="str">
        <f t="shared" si="14"/>
        <v/>
      </c>
      <c r="C181" s="44" t="str">
        <f t="shared" si="15"/>
        <v>[]</v>
      </c>
      <c r="D181" s="45" t="str">
        <f t="shared" si="16"/>
        <v/>
      </c>
      <c r="E181" s="45" t="str">
        <f t="shared" si="17"/>
        <v/>
      </c>
      <c r="F181" s="46" t="str">
        <f t="shared" si="18"/>
        <v/>
      </c>
      <c r="G181" s="47" t="str">
        <f t="shared" si="19"/>
        <v/>
      </c>
      <c r="H181" s="48" t="str">
        <f ca="1" t="shared" si="20"/>
        <v/>
      </c>
      <c r="I181" s="26"/>
    </row>
    <row r="182" ht="36" customHeight="1" spans="1:9">
      <c r="A182" s="42"/>
      <c r="B182" s="43" t="str">
        <f t="shared" si="14"/>
        <v/>
      </c>
      <c r="C182" s="44" t="str">
        <f t="shared" si="15"/>
        <v>[]</v>
      </c>
      <c r="D182" s="45" t="str">
        <f t="shared" si="16"/>
        <v/>
      </c>
      <c r="E182" s="45" t="str">
        <f t="shared" si="17"/>
        <v/>
      </c>
      <c r="F182" s="46" t="str">
        <f t="shared" si="18"/>
        <v/>
      </c>
      <c r="G182" s="47" t="str">
        <f t="shared" si="19"/>
        <v/>
      </c>
      <c r="H182" s="48" t="str">
        <f ca="1" t="shared" si="20"/>
        <v/>
      </c>
      <c r="I182" s="26"/>
    </row>
    <row r="183" ht="36" customHeight="1" spans="1:9">
      <c r="A183" s="42"/>
      <c r="B183" s="43" t="str">
        <f t="shared" si="14"/>
        <v/>
      </c>
      <c r="C183" s="44" t="str">
        <f t="shared" si="15"/>
        <v>[]</v>
      </c>
      <c r="D183" s="45" t="str">
        <f t="shared" si="16"/>
        <v/>
      </c>
      <c r="E183" s="45" t="str">
        <f t="shared" si="17"/>
        <v/>
      </c>
      <c r="F183" s="46" t="str">
        <f t="shared" si="18"/>
        <v/>
      </c>
      <c r="G183" s="47" t="str">
        <f t="shared" si="19"/>
        <v/>
      </c>
      <c r="H183" s="48" t="str">
        <f ca="1" t="shared" si="20"/>
        <v/>
      </c>
      <c r="I183" s="26"/>
    </row>
    <row r="184" ht="36" customHeight="1" spans="1:9">
      <c r="A184" s="42"/>
      <c r="B184" s="43" t="str">
        <f t="shared" si="14"/>
        <v/>
      </c>
      <c r="C184" s="44" t="str">
        <f t="shared" si="15"/>
        <v>[]</v>
      </c>
      <c r="D184" s="45" t="str">
        <f t="shared" si="16"/>
        <v/>
      </c>
      <c r="E184" s="45" t="str">
        <f t="shared" si="17"/>
        <v/>
      </c>
      <c r="F184" s="46" t="str">
        <f t="shared" si="18"/>
        <v/>
      </c>
      <c r="G184" s="47" t="str">
        <f t="shared" si="19"/>
        <v/>
      </c>
      <c r="H184" s="48" t="str">
        <f ca="1" t="shared" si="20"/>
        <v/>
      </c>
      <c r="I184" s="26"/>
    </row>
    <row r="185" ht="36" customHeight="1" spans="1:9">
      <c r="A185" s="42"/>
      <c r="B185" s="43" t="str">
        <f t="shared" si="14"/>
        <v/>
      </c>
      <c r="C185" s="44" t="str">
        <f t="shared" si="15"/>
        <v>[]</v>
      </c>
      <c r="D185" s="45" t="str">
        <f t="shared" si="16"/>
        <v/>
      </c>
      <c r="E185" s="45" t="str">
        <f t="shared" si="17"/>
        <v/>
      </c>
      <c r="F185" s="46" t="str">
        <f t="shared" si="18"/>
        <v/>
      </c>
      <c r="G185" s="47" t="str">
        <f t="shared" si="19"/>
        <v/>
      </c>
      <c r="H185" s="48" t="str">
        <f ca="1" t="shared" si="20"/>
        <v/>
      </c>
      <c r="I185" s="26"/>
    </row>
    <row r="186" ht="36" customHeight="1" spans="1:9">
      <c r="A186" s="42"/>
      <c r="B186" s="43" t="str">
        <f t="shared" si="14"/>
        <v/>
      </c>
      <c r="C186" s="44" t="str">
        <f t="shared" si="15"/>
        <v>[]</v>
      </c>
      <c r="D186" s="45" t="str">
        <f t="shared" si="16"/>
        <v/>
      </c>
      <c r="E186" s="45" t="str">
        <f t="shared" si="17"/>
        <v/>
      </c>
      <c r="F186" s="46" t="str">
        <f t="shared" si="18"/>
        <v/>
      </c>
      <c r="G186" s="47" t="str">
        <f t="shared" si="19"/>
        <v/>
      </c>
      <c r="H186" s="48" t="str">
        <f ca="1" t="shared" si="20"/>
        <v/>
      </c>
      <c r="I186" s="26"/>
    </row>
    <row r="187" ht="36" customHeight="1" spans="1:9">
      <c r="A187" s="42"/>
      <c r="B187" s="43" t="str">
        <f t="shared" si="14"/>
        <v/>
      </c>
      <c r="C187" s="44" t="str">
        <f t="shared" si="15"/>
        <v>[]</v>
      </c>
      <c r="D187" s="45" t="str">
        <f t="shared" si="16"/>
        <v/>
      </c>
      <c r="E187" s="45" t="str">
        <f t="shared" si="17"/>
        <v/>
      </c>
      <c r="F187" s="46" t="str">
        <f t="shared" si="18"/>
        <v/>
      </c>
      <c r="G187" s="47" t="str">
        <f t="shared" si="19"/>
        <v/>
      </c>
      <c r="H187" s="48" t="str">
        <f ca="1" t="shared" si="20"/>
        <v/>
      </c>
      <c r="I187" s="26"/>
    </row>
    <row r="188" ht="36" customHeight="1" spans="1:9">
      <c r="A188" s="42"/>
      <c r="B188" s="43" t="str">
        <f t="shared" si="14"/>
        <v/>
      </c>
      <c r="C188" s="44" t="str">
        <f t="shared" si="15"/>
        <v>[]</v>
      </c>
      <c r="D188" s="45" t="str">
        <f t="shared" si="16"/>
        <v/>
      </c>
      <c r="E188" s="45" t="str">
        <f t="shared" si="17"/>
        <v/>
      </c>
      <c r="F188" s="46" t="str">
        <f t="shared" si="18"/>
        <v/>
      </c>
      <c r="G188" s="47" t="str">
        <f t="shared" si="19"/>
        <v/>
      </c>
      <c r="H188" s="48" t="str">
        <f ca="1" t="shared" si="20"/>
        <v/>
      </c>
      <c r="I188" s="26"/>
    </row>
    <row r="189" ht="36" customHeight="1" spans="1:9">
      <c r="A189" s="42"/>
      <c r="B189" s="43" t="str">
        <f t="shared" si="14"/>
        <v/>
      </c>
      <c r="C189" s="44" t="str">
        <f t="shared" si="15"/>
        <v>[]</v>
      </c>
      <c r="D189" s="45" t="str">
        <f t="shared" si="16"/>
        <v/>
      </c>
      <c r="E189" s="45" t="str">
        <f t="shared" si="17"/>
        <v/>
      </c>
      <c r="F189" s="46" t="str">
        <f t="shared" si="18"/>
        <v/>
      </c>
      <c r="G189" s="47" t="str">
        <f t="shared" si="19"/>
        <v/>
      </c>
      <c r="H189" s="48" t="str">
        <f ca="1" t="shared" si="20"/>
        <v/>
      </c>
      <c r="I189" s="26"/>
    </row>
    <row r="190" ht="36" customHeight="1" spans="1:9">
      <c r="A190" s="42"/>
      <c r="B190" s="43" t="str">
        <f t="shared" si="14"/>
        <v/>
      </c>
      <c r="C190" s="44" t="str">
        <f t="shared" si="15"/>
        <v>[]</v>
      </c>
      <c r="D190" s="45" t="str">
        <f t="shared" si="16"/>
        <v/>
      </c>
      <c r="E190" s="45" t="str">
        <f t="shared" si="17"/>
        <v/>
      </c>
      <c r="F190" s="46" t="str">
        <f t="shared" si="18"/>
        <v/>
      </c>
      <c r="G190" s="47" t="str">
        <f t="shared" si="19"/>
        <v/>
      </c>
      <c r="H190" s="48" t="str">
        <f ca="1" t="shared" si="20"/>
        <v/>
      </c>
      <c r="I190" s="26"/>
    </row>
    <row r="191" ht="36" customHeight="1" spans="1:9">
      <c r="A191" s="42"/>
      <c r="B191" s="43" t="str">
        <f t="shared" si="14"/>
        <v/>
      </c>
      <c r="C191" s="44" t="str">
        <f t="shared" si="15"/>
        <v>[]</v>
      </c>
      <c r="D191" s="45" t="str">
        <f t="shared" si="16"/>
        <v/>
      </c>
      <c r="E191" s="45" t="str">
        <f t="shared" si="17"/>
        <v/>
      </c>
      <c r="F191" s="46" t="str">
        <f t="shared" si="18"/>
        <v/>
      </c>
      <c r="G191" s="47" t="str">
        <f t="shared" si="19"/>
        <v/>
      </c>
      <c r="H191" s="48" t="str">
        <f ca="1" t="shared" si="20"/>
        <v/>
      </c>
      <c r="I191" s="26"/>
    </row>
    <row r="192" ht="36" customHeight="1" spans="1:9">
      <c r="A192" s="42"/>
      <c r="B192" s="43" t="str">
        <f t="shared" si="14"/>
        <v/>
      </c>
      <c r="C192" s="44" t="str">
        <f t="shared" si="15"/>
        <v>[]</v>
      </c>
      <c r="D192" s="45" t="str">
        <f t="shared" si="16"/>
        <v/>
      </c>
      <c r="E192" s="45" t="str">
        <f t="shared" si="17"/>
        <v/>
      </c>
      <c r="F192" s="46" t="str">
        <f t="shared" si="18"/>
        <v/>
      </c>
      <c r="G192" s="47" t="str">
        <f t="shared" si="19"/>
        <v/>
      </c>
      <c r="H192" s="48" t="str">
        <f ca="1" t="shared" si="20"/>
        <v/>
      </c>
      <c r="I192" s="26"/>
    </row>
    <row r="193" ht="36" customHeight="1" spans="1:9">
      <c r="A193" s="42"/>
      <c r="B193" s="43" t="str">
        <f t="shared" ref="B193:B256" si="21">IFERROR("@"&amp;MID(A193,SEARCH("{",A193)+1,SEARCH(",",A193)-SEARCH("{",A193)-1),"")</f>
        <v/>
      </c>
      <c r="C193" s="44" t="str">
        <f t="shared" ref="C193:C256" si="22">"["&amp;B193&amp;"]"</f>
        <v>[]</v>
      </c>
      <c r="D193" s="45" t="str">
        <f t="shared" ref="D193:D256" si="23">IFERROR(MID(A193,SEARCH("year = {",A193)+8,4),"")</f>
        <v/>
      </c>
      <c r="E193" s="45" t="str">
        <f t="shared" ref="E193:E256" si="24">IFERROR(MID(A193,SEARCH("author = {",A193)+10,SEARCH("}",A193,SEARCH("author = {",A193))-SEARCH("author = {",A193)-10),"")</f>
        <v/>
      </c>
      <c r="F193" s="46" t="str">
        <f t="shared" ref="F193:F256" si="25">IFERROR(IF(ISERROR(FIND("title =",A193)),"",MID(A193,FIND("title =",A193)+9,FIND("},",A193,FIND("title =",A193))-FIND("title =",A193)-9)),"")</f>
        <v/>
      </c>
      <c r="G193" s="47" t="str">
        <f t="shared" ref="G193:G256" si="26">IFERROR("https://doi.org/"&amp;MID(A193,SEARCH("doi = {",A193)+7,FIND("}",A193,SEARCH("doi = {",A193))-SEARCH("doi = {",A193)-7),"")</f>
        <v/>
      </c>
      <c r="H193" s="48" t="str">
        <f ca="1" t="shared" ref="H193:H256" si="27">IF(A193&lt;&gt;"",IF(H193&lt;&gt;"",H193,NOW()),"")</f>
        <v/>
      </c>
      <c r="I193" s="26"/>
    </row>
    <row r="194" ht="36" customHeight="1" spans="1:9">
      <c r="A194" s="42"/>
      <c r="B194" s="43" t="str">
        <f t="shared" si="21"/>
        <v/>
      </c>
      <c r="C194" s="44" t="str">
        <f t="shared" si="22"/>
        <v>[]</v>
      </c>
      <c r="D194" s="45" t="str">
        <f t="shared" si="23"/>
        <v/>
      </c>
      <c r="E194" s="45" t="str">
        <f t="shared" si="24"/>
        <v/>
      </c>
      <c r="F194" s="46" t="str">
        <f t="shared" si="25"/>
        <v/>
      </c>
      <c r="G194" s="47" t="str">
        <f t="shared" si="26"/>
        <v/>
      </c>
      <c r="H194" s="48" t="str">
        <f ca="1" t="shared" si="27"/>
        <v/>
      </c>
      <c r="I194" s="26"/>
    </row>
    <row r="195" ht="36" customHeight="1" spans="1:9">
      <c r="A195" s="42"/>
      <c r="B195" s="43" t="str">
        <f t="shared" si="21"/>
        <v/>
      </c>
      <c r="C195" s="44" t="str">
        <f t="shared" si="22"/>
        <v>[]</v>
      </c>
      <c r="D195" s="45" t="str">
        <f t="shared" si="23"/>
        <v/>
      </c>
      <c r="E195" s="45" t="str">
        <f t="shared" si="24"/>
        <v/>
      </c>
      <c r="F195" s="46" t="str">
        <f t="shared" si="25"/>
        <v/>
      </c>
      <c r="G195" s="47" t="str">
        <f t="shared" si="26"/>
        <v/>
      </c>
      <c r="H195" s="48" t="str">
        <f ca="1" t="shared" si="27"/>
        <v/>
      </c>
      <c r="I195" s="26"/>
    </row>
    <row r="196" ht="36" customHeight="1" spans="1:9">
      <c r="A196" s="42"/>
      <c r="B196" s="43" t="str">
        <f t="shared" si="21"/>
        <v/>
      </c>
      <c r="C196" s="44" t="str">
        <f t="shared" si="22"/>
        <v>[]</v>
      </c>
      <c r="D196" s="45" t="str">
        <f t="shared" si="23"/>
        <v/>
      </c>
      <c r="E196" s="45" t="str">
        <f t="shared" si="24"/>
        <v/>
      </c>
      <c r="F196" s="46" t="str">
        <f t="shared" si="25"/>
        <v/>
      </c>
      <c r="G196" s="47" t="str">
        <f t="shared" si="26"/>
        <v/>
      </c>
      <c r="H196" s="48" t="str">
        <f ca="1" t="shared" si="27"/>
        <v/>
      </c>
      <c r="I196" s="26"/>
    </row>
    <row r="197" ht="36" customHeight="1" spans="1:9">
      <c r="A197" s="42"/>
      <c r="B197" s="43" t="str">
        <f t="shared" si="21"/>
        <v/>
      </c>
      <c r="C197" s="44" t="str">
        <f t="shared" si="22"/>
        <v>[]</v>
      </c>
      <c r="D197" s="45" t="str">
        <f t="shared" si="23"/>
        <v/>
      </c>
      <c r="E197" s="45" t="str">
        <f t="shared" si="24"/>
        <v/>
      </c>
      <c r="F197" s="46" t="str">
        <f t="shared" si="25"/>
        <v/>
      </c>
      <c r="G197" s="47" t="str">
        <f t="shared" si="26"/>
        <v/>
      </c>
      <c r="H197" s="48" t="str">
        <f ca="1" t="shared" si="27"/>
        <v/>
      </c>
      <c r="I197" s="26"/>
    </row>
    <row r="198" ht="36" customHeight="1" spans="1:9">
      <c r="A198" s="42"/>
      <c r="B198" s="43" t="str">
        <f t="shared" si="21"/>
        <v/>
      </c>
      <c r="C198" s="44" t="str">
        <f t="shared" si="22"/>
        <v>[]</v>
      </c>
      <c r="D198" s="45" t="str">
        <f t="shared" si="23"/>
        <v/>
      </c>
      <c r="E198" s="45" t="str">
        <f t="shared" si="24"/>
        <v/>
      </c>
      <c r="F198" s="46" t="str">
        <f t="shared" si="25"/>
        <v/>
      </c>
      <c r="G198" s="47" t="str">
        <f t="shared" si="26"/>
        <v/>
      </c>
      <c r="H198" s="48" t="str">
        <f ca="1" t="shared" si="27"/>
        <v/>
      </c>
      <c r="I198" s="26"/>
    </row>
    <row r="199" ht="36" customHeight="1" spans="1:9">
      <c r="A199" s="42"/>
      <c r="B199" s="43" t="str">
        <f t="shared" si="21"/>
        <v/>
      </c>
      <c r="C199" s="44" t="str">
        <f t="shared" si="22"/>
        <v>[]</v>
      </c>
      <c r="D199" s="45" t="str">
        <f t="shared" si="23"/>
        <v/>
      </c>
      <c r="E199" s="45" t="str">
        <f t="shared" si="24"/>
        <v/>
      </c>
      <c r="F199" s="46" t="str">
        <f t="shared" si="25"/>
        <v/>
      </c>
      <c r="G199" s="47" t="str">
        <f t="shared" si="26"/>
        <v/>
      </c>
      <c r="H199" s="48" t="str">
        <f ca="1" t="shared" si="27"/>
        <v/>
      </c>
      <c r="I199" s="26"/>
    </row>
    <row r="200" ht="36" customHeight="1" spans="1:9">
      <c r="A200" s="42"/>
      <c r="B200" s="43" t="str">
        <f t="shared" si="21"/>
        <v/>
      </c>
      <c r="C200" s="44" t="str">
        <f t="shared" si="22"/>
        <v>[]</v>
      </c>
      <c r="D200" s="45" t="str">
        <f t="shared" si="23"/>
        <v/>
      </c>
      <c r="E200" s="45" t="str">
        <f t="shared" si="24"/>
        <v/>
      </c>
      <c r="F200" s="46" t="str">
        <f t="shared" si="25"/>
        <v/>
      </c>
      <c r="G200" s="47" t="str">
        <f t="shared" si="26"/>
        <v/>
      </c>
      <c r="H200" s="48" t="str">
        <f ca="1" t="shared" si="27"/>
        <v/>
      </c>
      <c r="I200" s="26"/>
    </row>
    <row r="201" ht="36" customHeight="1" spans="1:9">
      <c r="A201" s="42"/>
      <c r="B201" s="43" t="str">
        <f t="shared" si="21"/>
        <v/>
      </c>
      <c r="C201" s="44" t="str">
        <f t="shared" si="22"/>
        <v>[]</v>
      </c>
      <c r="D201" s="45" t="str">
        <f t="shared" si="23"/>
        <v/>
      </c>
      <c r="E201" s="45" t="str">
        <f t="shared" si="24"/>
        <v/>
      </c>
      <c r="F201" s="46" t="str">
        <f t="shared" si="25"/>
        <v/>
      </c>
      <c r="G201" s="47" t="str">
        <f t="shared" si="26"/>
        <v/>
      </c>
      <c r="H201" s="48" t="str">
        <f ca="1" t="shared" si="27"/>
        <v/>
      </c>
      <c r="I201" s="26"/>
    </row>
    <row r="202" ht="36" customHeight="1" spans="1:9">
      <c r="A202" s="42"/>
      <c r="B202" s="43" t="str">
        <f t="shared" si="21"/>
        <v/>
      </c>
      <c r="C202" s="44" t="str">
        <f t="shared" si="22"/>
        <v>[]</v>
      </c>
      <c r="D202" s="45" t="str">
        <f t="shared" si="23"/>
        <v/>
      </c>
      <c r="E202" s="45" t="str">
        <f t="shared" si="24"/>
        <v/>
      </c>
      <c r="F202" s="46" t="str">
        <f t="shared" si="25"/>
        <v/>
      </c>
      <c r="G202" s="47" t="str">
        <f t="shared" si="26"/>
        <v/>
      </c>
      <c r="H202" s="48" t="str">
        <f ca="1" t="shared" si="27"/>
        <v/>
      </c>
      <c r="I202" s="26"/>
    </row>
    <row r="203" ht="36" customHeight="1" spans="1:9">
      <c r="A203" s="42"/>
      <c r="B203" s="43" t="str">
        <f t="shared" si="21"/>
        <v/>
      </c>
      <c r="C203" s="44" t="str">
        <f t="shared" si="22"/>
        <v>[]</v>
      </c>
      <c r="D203" s="45" t="str">
        <f t="shared" si="23"/>
        <v/>
      </c>
      <c r="E203" s="45" t="str">
        <f t="shared" si="24"/>
        <v/>
      </c>
      <c r="F203" s="46" t="str">
        <f t="shared" si="25"/>
        <v/>
      </c>
      <c r="G203" s="47" t="str">
        <f t="shared" si="26"/>
        <v/>
      </c>
      <c r="H203" s="48" t="str">
        <f ca="1" t="shared" si="27"/>
        <v/>
      </c>
      <c r="I203" s="26"/>
    </row>
    <row r="204" ht="36" customHeight="1" spans="1:9">
      <c r="A204" s="42"/>
      <c r="B204" s="43" t="str">
        <f t="shared" si="21"/>
        <v/>
      </c>
      <c r="C204" s="44" t="str">
        <f t="shared" si="22"/>
        <v>[]</v>
      </c>
      <c r="D204" s="45" t="str">
        <f t="shared" si="23"/>
        <v/>
      </c>
      <c r="E204" s="45" t="str">
        <f t="shared" si="24"/>
        <v/>
      </c>
      <c r="F204" s="46" t="str">
        <f t="shared" si="25"/>
        <v/>
      </c>
      <c r="G204" s="47" t="str">
        <f t="shared" si="26"/>
        <v/>
      </c>
      <c r="H204" s="48" t="str">
        <f ca="1" t="shared" si="27"/>
        <v/>
      </c>
      <c r="I204" s="26"/>
    </row>
    <row r="205" ht="36" customHeight="1" spans="1:9">
      <c r="A205" s="42"/>
      <c r="B205" s="43" t="str">
        <f t="shared" si="21"/>
        <v/>
      </c>
      <c r="C205" s="44" t="str">
        <f t="shared" si="22"/>
        <v>[]</v>
      </c>
      <c r="D205" s="45" t="str">
        <f t="shared" si="23"/>
        <v/>
      </c>
      <c r="E205" s="45" t="str">
        <f t="shared" si="24"/>
        <v/>
      </c>
      <c r="F205" s="46" t="str">
        <f t="shared" si="25"/>
        <v/>
      </c>
      <c r="G205" s="47" t="str">
        <f t="shared" si="26"/>
        <v/>
      </c>
      <c r="H205" s="48" t="str">
        <f ca="1" t="shared" si="27"/>
        <v/>
      </c>
      <c r="I205" s="26"/>
    </row>
    <row r="206" ht="36" customHeight="1" spans="1:9">
      <c r="A206" s="42"/>
      <c r="B206" s="43" t="str">
        <f t="shared" si="21"/>
        <v/>
      </c>
      <c r="C206" s="44" t="str">
        <f t="shared" si="22"/>
        <v>[]</v>
      </c>
      <c r="D206" s="45" t="str">
        <f t="shared" si="23"/>
        <v/>
      </c>
      <c r="E206" s="45" t="str">
        <f t="shared" si="24"/>
        <v/>
      </c>
      <c r="F206" s="46" t="str">
        <f t="shared" si="25"/>
        <v/>
      </c>
      <c r="G206" s="47" t="str">
        <f t="shared" si="26"/>
        <v/>
      </c>
      <c r="H206" s="48" t="str">
        <f ca="1" t="shared" si="27"/>
        <v/>
      </c>
      <c r="I206" s="26"/>
    </row>
    <row r="207" ht="36" customHeight="1" spans="1:9">
      <c r="A207" s="42"/>
      <c r="B207" s="43" t="str">
        <f t="shared" si="21"/>
        <v/>
      </c>
      <c r="C207" s="44" t="str">
        <f t="shared" si="22"/>
        <v>[]</v>
      </c>
      <c r="D207" s="45" t="str">
        <f t="shared" si="23"/>
        <v/>
      </c>
      <c r="E207" s="45" t="str">
        <f t="shared" si="24"/>
        <v/>
      </c>
      <c r="F207" s="46" t="str">
        <f t="shared" si="25"/>
        <v/>
      </c>
      <c r="G207" s="47" t="str">
        <f t="shared" si="26"/>
        <v/>
      </c>
      <c r="H207" s="48" t="str">
        <f ca="1" t="shared" si="27"/>
        <v/>
      </c>
      <c r="I207" s="26"/>
    </row>
    <row r="208" ht="36" customHeight="1" spans="1:9">
      <c r="A208" s="42"/>
      <c r="B208" s="43" t="str">
        <f t="shared" si="21"/>
        <v/>
      </c>
      <c r="C208" s="44" t="str">
        <f t="shared" si="22"/>
        <v>[]</v>
      </c>
      <c r="D208" s="45" t="str">
        <f t="shared" si="23"/>
        <v/>
      </c>
      <c r="E208" s="45" t="str">
        <f t="shared" si="24"/>
        <v/>
      </c>
      <c r="F208" s="46" t="str">
        <f t="shared" si="25"/>
        <v/>
      </c>
      <c r="G208" s="47" t="str">
        <f t="shared" si="26"/>
        <v/>
      </c>
      <c r="H208" s="48" t="str">
        <f ca="1" t="shared" si="27"/>
        <v/>
      </c>
      <c r="I208" s="26"/>
    </row>
    <row r="209" ht="36" customHeight="1" spans="1:9">
      <c r="A209" s="42"/>
      <c r="B209" s="43" t="str">
        <f t="shared" si="21"/>
        <v/>
      </c>
      <c r="C209" s="44" t="str">
        <f t="shared" si="22"/>
        <v>[]</v>
      </c>
      <c r="D209" s="45" t="str">
        <f t="shared" si="23"/>
        <v/>
      </c>
      <c r="E209" s="45" t="str">
        <f t="shared" si="24"/>
        <v/>
      </c>
      <c r="F209" s="46" t="str">
        <f t="shared" si="25"/>
        <v/>
      </c>
      <c r="G209" s="47" t="str">
        <f t="shared" si="26"/>
        <v/>
      </c>
      <c r="H209" s="48" t="str">
        <f ca="1" t="shared" si="27"/>
        <v/>
      </c>
      <c r="I209" s="26"/>
    </row>
    <row r="210" ht="36" customHeight="1" spans="1:9">
      <c r="A210" s="42"/>
      <c r="B210" s="43" t="str">
        <f t="shared" si="21"/>
        <v/>
      </c>
      <c r="C210" s="44" t="str">
        <f t="shared" si="22"/>
        <v>[]</v>
      </c>
      <c r="D210" s="45" t="str">
        <f t="shared" si="23"/>
        <v/>
      </c>
      <c r="E210" s="45" t="str">
        <f t="shared" si="24"/>
        <v/>
      </c>
      <c r="F210" s="46" t="str">
        <f t="shared" si="25"/>
        <v/>
      </c>
      <c r="G210" s="47" t="str">
        <f t="shared" si="26"/>
        <v/>
      </c>
      <c r="H210" s="48" t="str">
        <f ca="1" t="shared" si="27"/>
        <v/>
      </c>
      <c r="I210" s="26"/>
    </row>
    <row r="211" ht="36" customHeight="1" spans="1:9">
      <c r="A211" s="42"/>
      <c r="B211" s="43" t="str">
        <f t="shared" si="21"/>
        <v/>
      </c>
      <c r="C211" s="44" t="str">
        <f t="shared" si="22"/>
        <v>[]</v>
      </c>
      <c r="D211" s="45" t="str">
        <f t="shared" si="23"/>
        <v/>
      </c>
      <c r="E211" s="45" t="str">
        <f t="shared" si="24"/>
        <v/>
      </c>
      <c r="F211" s="46" t="str">
        <f t="shared" si="25"/>
        <v/>
      </c>
      <c r="G211" s="47" t="str">
        <f t="shared" si="26"/>
        <v/>
      </c>
      <c r="H211" s="48" t="str">
        <f ca="1" t="shared" si="27"/>
        <v/>
      </c>
      <c r="I211" s="26"/>
    </row>
    <row r="212" ht="36" customHeight="1" spans="1:9">
      <c r="A212" s="42"/>
      <c r="B212" s="43" t="str">
        <f t="shared" si="21"/>
        <v/>
      </c>
      <c r="C212" s="44" t="str">
        <f t="shared" si="22"/>
        <v>[]</v>
      </c>
      <c r="D212" s="45" t="str">
        <f t="shared" si="23"/>
        <v/>
      </c>
      <c r="E212" s="45" t="str">
        <f t="shared" si="24"/>
        <v/>
      </c>
      <c r="F212" s="46" t="str">
        <f t="shared" si="25"/>
        <v/>
      </c>
      <c r="G212" s="47" t="str">
        <f t="shared" si="26"/>
        <v/>
      </c>
      <c r="H212" s="48" t="str">
        <f ca="1" t="shared" si="27"/>
        <v/>
      </c>
      <c r="I212" s="26"/>
    </row>
    <row r="213" ht="36" customHeight="1" spans="1:9">
      <c r="A213" s="42"/>
      <c r="B213" s="43" t="str">
        <f t="shared" si="21"/>
        <v/>
      </c>
      <c r="C213" s="44" t="str">
        <f t="shared" si="22"/>
        <v>[]</v>
      </c>
      <c r="D213" s="45" t="str">
        <f t="shared" si="23"/>
        <v/>
      </c>
      <c r="E213" s="45" t="str">
        <f t="shared" si="24"/>
        <v/>
      </c>
      <c r="F213" s="46" t="str">
        <f t="shared" si="25"/>
        <v/>
      </c>
      <c r="G213" s="47" t="str">
        <f t="shared" si="26"/>
        <v/>
      </c>
      <c r="H213" s="48" t="str">
        <f ca="1" t="shared" si="27"/>
        <v/>
      </c>
      <c r="I213" s="26"/>
    </row>
    <row r="214" ht="36" customHeight="1" spans="1:9">
      <c r="A214" s="42"/>
      <c r="B214" s="43" t="str">
        <f t="shared" si="21"/>
        <v/>
      </c>
      <c r="C214" s="44" t="str">
        <f t="shared" si="22"/>
        <v>[]</v>
      </c>
      <c r="D214" s="45" t="str">
        <f t="shared" si="23"/>
        <v/>
      </c>
      <c r="E214" s="45" t="str">
        <f t="shared" si="24"/>
        <v/>
      </c>
      <c r="F214" s="46" t="str">
        <f t="shared" si="25"/>
        <v/>
      </c>
      <c r="G214" s="47" t="str">
        <f t="shared" si="26"/>
        <v/>
      </c>
      <c r="H214" s="48" t="str">
        <f ca="1" t="shared" si="27"/>
        <v/>
      </c>
      <c r="I214" s="26"/>
    </row>
    <row r="215" ht="36" customHeight="1" spans="1:9">
      <c r="A215" s="42"/>
      <c r="B215" s="43" t="str">
        <f t="shared" si="21"/>
        <v/>
      </c>
      <c r="C215" s="44" t="str">
        <f t="shared" si="22"/>
        <v>[]</v>
      </c>
      <c r="D215" s="45" t="str">
        <f t="shared" si="23"/>
        <v/>
      </c>
      <c r="E215" s="45" t="str">
        <f t="shared" si="24"/>
        <v/>
      </c>
      <c r="F215" s="46" t="str">
        <f t="shared" si="25"/>
        <v/>
      </c>
      <c r="G215" s="47" t="str">
        <f t="shared" si="26"/>
        <v/>
      </c>
      <c r="H215" s="48" t="str">
        <f ca="1" t="shared" si="27"/>
        <v/>
      </c>
      <c r="I215" s="26"/>
    </row>
    <row r="216" ht="36" customHeight="1" spans="1:9">
      <c r="A216" s="42"/>
      <c r="B216" s="43" t="str">
        <f t="shared" si="21"/>
        <v/>
      </c>
      <c r="C216" s="44" t="str">
        <f t="shared" si="22"/>
        <v>[]</v>
      </c>
      <c r="D216" s="45" t="str">
        <f t="shared" si="23"/>
        <v/>
      </c>
      <c r="E216" s="45" t="str">
        <f t="shared" si="24"/>
        <v/>
      </c>
      <c r="F216" s="46" t="str">
        <f t="shared" si="25"/>
        <v/>
      </c>
      <c r="G216" s="47" t="str">
        <f t="shared" si="26"/>
        <v/>
      </c>
      <c r="H216" s="48" t="str">
        <f ca="1" t="shared" si="27"/>
        <v/>
      </c>
      <c r="I216" s="26"/>
    </row>
    <row r="217" ht="36" customHeight="1" spans="1:9">
      <c r="A217" s="42"/>
      <c r="B217" s="43" t="str">
        <f t="shared" si="21"/>
        <v/>
      </c>
      <c r="C217" s="44" t="str">
        <f t="shared" si="22"/>
        <v>[]</v>
      </c>
      <c r="D217" s="45" t="str">
        <f t="shared" si="23"/>
        <v/>
      </c>
      <c r="E217" s="45" t="str">
        <f t="shared" si="24"/>
        <v/>
      </c>
      <c r="F217" s="46" t="str">
        <f t="shared" si="25"/>
        <v/>
      </c>
      <c r="G217" s="47" t="str">
        <f t="shared" si="26"/>
        <v/>
      </c>
      <c r="H217" s="48" t="str">
        <f ca="1" t="shared" si="27"/>
        <v/>
      </c>
      <c r="I217" s="26"/>
    </row>
    <row r="218" ht="36" customHeight="1" spans="1:9">
      <c r="A218" s="42"/>
      <c r="B218" s="43" t="str">
        <f t="shared" si="21"/>
        <v/>
      </c>
      <c r="C218" s="44" t="str">
        <f t="shared" si="22"/>
        <v>[]</v>
      </c>
      <c r="D218" s="45" t="str">
        <f t="shared" si="23"/>
        <v/>
      </c>
      <c r="E218" s="45" t="str">
        <f t="shared" si="24"/>
        <v/>
      </c>
      <c r="F218" s="46" t="str">
        <f t="shared" si="25"/>
        <v/>
      </c>
      <c r="G218" s="47" t="str">
        <f t="shared" si="26"/>
        <v/>
      </c>
      <c r="H218" s="48" t="str">
        <f ca="1" t="shared" si="27"/>
        <v/>
      </c>
      <c r="I218" s="26"/>
    </row>
    <row r="219" ht="36" customHeight="1" spans="1:9">
      <c r="A219" s="42"/>
      <c r="B219" s="43" t="str">
        <f t="shared" si="21"/>
        <v/>
      </c>
      <c r="C219" s="44" t="str">
        <f t="shared" si="22"/>
        <v>[]</v>
      </c>
      <c r="D219" s="45" t="str">
        <f t="shared" si="23"/>
        <v/>
      </c>
      <c r="E219" s="45" t="str">
        <f t="shared" si="24"/>
        <v/>
      </c>
      <c r="F219" s="46" t="str">
        <f t="shared" si="25"/>
        <v/>
      </c>
      <c r="G219" s="47" t="str">
        <f t="shared" si="26"/>
        <v/>
      </c>
      <c r="H219" s="48" t="str">
        <f ca="1" t="shared" si="27"/>
        <v/>
      </c>
      <c r="I219" s="26"/>
    </row>
    <row r="220" ht="36" customHeight="1" spans="1:9">
      <c r="A220" s="42"/>
      <c r="B220" s="43" t="str">
        <f t="shared" si="21"/>
        <v/>
      </c>
      <c r="C220" s="44" t="str">
        <f t="shared" si="22"/>
        <v>[]</v>
      </c>
      <c r="D220" s="45" t="str">
        <f t="shared" si="23"/>
        <v/>
      </c>
      <c r="E220" s="45" t="str">
        <f t="shared" si="24"/>
        <v/>
      </c>
      <c r="F220" s="46" t="str">
        <f t="shared" si="25"/>
        <v/>
      </c>
      <c r="G220" s="47" t="str">
        <f t="shared" si="26"/>
        <v/>
      </c>
      <c r="H220" s="48" t="str">
        <f ca="1" t="shared" si="27"/>
        <v/>
      </c>
      <c r="I220" s="26"/>
    </row>
    <row r="221" ht="36" customHeight="1" spans="1:9">
      <c r="A221" s="42"/>
      <c r="B221" s="43" t="str">
        <f t="shared" si="21"/>
        <v/>
      </c>
      <c r="C221" s="44" t="str">
        <f t="shared" si="22"/>
        <v>[]</v>
      </c>
      <c r="D221" s="45" t="str">
        <f t="shared" si="23"/>
        <v/>
      </c>
      <c r="E221" s="45" t="str">
        <f t="shared" si="24"/>
        <v/>
      </c>
      <c r="F221" s="46" t="str">
        <f t="shared" si="25"/>
        <v/>
      </c>
      <c r="G221" s="47" t="str">
        <f t="shared" si="26"/>
        <v/>
      </c>
      <c r="H221" s="48" t="str">
        <f ca="1" t="shared" si="27"/>
        <v/>
      </c>
      <c r="I221" s="26"/>
    </row>
    <row r="222" ht="36" customHeight="1" spans="1:9">
      <c r="A222" s="42"/>
      <c r="B222" s="43" t="str">
        <f t="shared" si="21"/>
        <v/>
      </c>
      <c r="C222" s="44" t="str">
        <f t="shared" si="22"/>
        <v>[]</v>
      </c>
      <c r="D222" s="45" t="str">
        <f t="shared" si="23"/>
        <v/>
      </c>
      <c r="E222" s="45" t="str">
        <f t="shared" si="24"/>
        <v/>
      </c>
      <c r="F222" s="46" t="str">
        <f t="shared" si="25"/>
        <v/>
      </c>
      <c r="G222" s="47" t="str">
        <f t="shared" si="26"/>
        <v/>
      </c>
      <c r="H222" s="48" t="str">
        <f ca="1" t="shared" si="27"/>
        <v/>
      </c>
      <c r="I222" s="26"/>
    </row>
    <row r="223" ht="36" customHeight="1" spans="1:9">
      <c r="A223" s="42"/>
      <c r="B223" s="43" t="str">
        <f t="shared" si="21"/>
        <v/>
      </c>
      <c r="C223" s="44" t="str">
        <f t="shared" si="22"/>
        <v>[]</v>
      </c>
      <c r="D223" s="45" t="str">
        <f t="shared" si="23"/>
        <v/>
      </c>
      <c r="E223" s="45" t="str">
        <f t="shared" si="24"/>
        <v/>
      </c>
      <c r="F223" s="46" t="str">
        <f t="shared" si="25"/>
        <v/>
      </c>
      <c r="G223" s="47" t="str">
        <f t="shared" si="26"/>
        <v/>
      </c>
      <c r="H223" s="48" t="str">
        <f ca="1" t="shared" si="27"/>
        <v/>
      </c>
      <c r="I223" s="26"/>
    </row>
    <row r="224" ht="36" customHeight="1" spans="1:9">
      <c r="A224" s="42"/>
      <c r="B224" s="43" t="str">
        <f t="shared" si="21"/>
        <v/>
      </c>
      <c r="C224" s="44" t="str">
        <f t="shared" si="22"/>
        <v>[]</v>
      </c>
      <c r="D224" s="45" t="str">
        <f t="shared" si="23"/>
        <v/>
      </c>
      <c r="E224" s="45" t="str">
        <f t="shared" si="24"/>
        <v/>
      </c>
      <c r="F224" s="46" t="str">
        <f t="shared" si="25"/>
        <v/>
      </c>
      <c r="G224" s="47" t="str">
        <f t="shared" si="26"/>
        <v/>
      </c>
      <c r="H224" s="48" t="str">
        <f ca="1" t="shared" si="27"/>
        <v/>
      </c>
      <c r="I224" s="26"/>
    </row>
    <row r="225" ht="36" customHeight="1" spans="1:9">
      <c r="A225" s="42"/>
      <c r="B225" s="43" t="str">
        <f t="shared" si="21"/>
        <v/>
      </c>
      <c r="C225" s="44" t="str">
        <f t="shared" si="22"/>
        <v>[]</v>
      </c>
      <c r="D225" s="45" t="str">
        <f t="shared" si="23"/>
        <v/>
      </c>
      <c r="E225" s="45" t="str">
        <f t="shared" si="24"/>
        <v/>
      </c>
      <c r="F225" s="46" t="str">
        <f t="shared" si="25"/>
        <v/>
      </c>
      <c r="G225" s="47" t="str">
        <f t="shared" si="26"/>
        <v/>
      </c>
      <c r="H225" s="48" t="str">
        <f ca="1" t="shared" si="27"/>
        <v/>
      </c>
      <c r="I225" s="26"/>
    </row>
    <row r="226" ht="36" customHeight="1" spans="1:9">
      <c r="A226" s="42"/>
      <c r="B226" s="43" t="str">
        <f t="shared" si="21"/>
        <v/>
      </c>
      <c r="C226" s="44" t="str">
        <f t="shared" si="22"/>
        <v>[]</v>
      </c>
      <c r="D226" s="45" t="str">
        <f t="shared" si="23"/>
        <v/>
      </c>
      <c r="E226" s="45" t="str">
        <f t="shared" si="24"/>
        <v/>
      </c>
      <c r="F226" s="46" t="str">
        <f t="shared" si="25"/>
        <v/>
      </c>
      <c r="G226" s="47" t="str">
        <f t="shared" si="26"/>
        <v/>
      </c>
      <c r="H226" s="48" t="str">
        <f ca="1" t="shared" si="27"/>
        <v/>
      </c>
      <c r="I226" s="26"/>
    </row>
    <row r="227" ht="36" customHeight="1" spans="1:9">
      <c r="A227" s="42"/>
      <c r="B227" s="43" t="str">
        <f t="shared" si="21"/>
        <v/>
      </c>
      <c r="C227" s="44" t="str">
        <f t="shared" si="22"/>
        <v>[]</v>
      </c>
      <c r="D227" s="45" t="str">
        <f t="shared" si="23"/>
        <v/>
      </c>
      <c r="E227" s="45" t="str">
        <f t="shared" si="24"/>
        <v/>
      </c>
      <c r="F227" s="46" t="str">
        <f t="shared" si="25"/>
        <v/>
      </c>
      <c r="G227" s="47" t="str">
        <f t="shared" si="26"/>
        <v/>
      </c>
      <c r="H227" s="48" t="str">
        <f ca="1" t="shared" si="27"/>
        <v/>
      </c>
      <c r="I227" s="26"/>
    </row>
    <row r="228" ht="36" customHeight="1" spans="1:9">
      <c r="A228" s="42"/>
      <c r="B228" s="43" t="str">
        <f t="shared" si="21"/>
        <v/>
      </c>
      <c r="C228" s="44" t="str">
        <f t="shared" si="22"/>
        <v>[]</v>
      </c>
      <c r="D228" s="45" t="str">
        <f t="shared" si="23"/>
        <v/>
      </c>
      <c r="E228" s="45" t="str">
        <f t="shared" si="24"/>
        <v/>
      </c>
      <c r="F228" s="46" t="str">
        <f t="shared" si="25"/>
        <v/>
      </c>
      <c r="G228" s="47" t="str">
        <f t="shared" si="26"/>
        <v/>
      </c>
      <c r="H228" s="48" t="str">
        <f ca="1" t="shared" si="27"/>
        <v/>
      </c>
      <c r="I228" s="26"/>
    </row>
    <row r="229" ht="36" customHeight="1" spans="1:9">
      <c r="A229" s="42"/>
      <c r="B229" s="43" t="str">
        <f t="shared" si="21"/>
        <v/>
      </c>
      <c r="C229" s="44" t="str">
        <f t="shared" si="22"/>
        <v>[]</v>
      </c>
      <c r="D229" s="45" t="str">
        <f t="shared" si="23"/>
        <v/>
      </c>
      <c r="E229" s="45" t="str">
        <f t="shared" si="24"/>
        <v/>
      </c>
      <c r="F229" s="46" t="str">
        <f t="shared" si="25"/>
        <v/>
      </c>
      <c r="G229" s="47" t="str">
        <f t="shared" si="26"/>
        <v/>
      </c>
      <c r="H229" s="48" t="str">
        <f ca="1" t="shared" si="27"/>
        <v/>
      </c>
      <c r="I229" s="26"/>
    </row>
    <row r="230" ht="36" customHeight="1" spans="1:9">
      <c r="A230" s="42"/>
      <c r="B230" s="43" t="str">
        <f t="shared" si="21"/>
        <v/>
      </c>
      <c r="C230" s="44" t="str">
        <f t="shared" si="22"/>
        <v>[]</v>
      </c>
      <c r="D230" s="45" t="str">
        <f t="shared" si="23"/>
        <v/>
      </c>
      <c r="E230" s="45" t="str">
        <f t="shared" si="24"/>
        <v/>
      </c>
      <c r="F230" s="46" t="str">
        <f t="shared" si="25"/>
        <v/>
      </c>
      <c r="G230" s="47" t="str">
        <f t="shared" si="26"/>
        <v/>
      </c>
      <c r="H230" s="48" t="str">
        <f ca="1" t="shared" si="27"/>
        <v/>
      </c>
      <c r="I230" s="26"/>
    </row>
    <row r="231" ht="36" customHeight="1" spans="1:9">
      <c r="A231" s="42"/>
      <c r="B231" s="43" t="str">
        <f t="shared" si="21"/>
        <v/>
      </c>
      <c r="C231" s="44" t="str">
        <f t="shared" si="22"/>
        <v>[]</v>
      </c>
      <c r="D231" s="45" t="str">
        <f t="shared" si="23"/>
        <v/>
      </c>
      <c r="E231" s="45" t="str">
        <f t="shared" si="24"/>
        <v/>
      </c>
      <c r="F231" s="46" t="str">
        <f t="shared" si="25"/>
        <v/>
      </c>
      <c r="G231" s="47" t="str">
        <f t="shared" si="26"/>
        <v/>
      </c>
      <c r="H231" s="48" t="str">
        <f ca="1" t="shared" si="27"/>
        <v/>
      </c>
      <c r="I231" s="26"/>
    </row>
    <row r="232" ht="36" customHeight="1" spans="1:9">
      <c r="A232" s="42"/>
      <c r="B232" s="43" t="str">
        <f t="shared" si="21"/>
        <v/>
      </c>
      <c r="C232" s="44" t="str">
        <f t="shared" si="22"/>
        <v>[]</v>
      </c>
      <c r="D232" s="45" t="str">
        <f t="shared" si="23"/>
        <v/>
      </c>
      <c r="E232" s="45" t="str">
        <f t="shared" si="24"/>
        <v/>
      </c>
      <c r="F232" s="46" t="str">
        <f t="shared" si="25"/>
        <v/>
      </c>
      <c r="G232" s="47" t="str">
        <f t="shared" si="26"/>
        <v/>
      </c>
      <c r="H232" s="48" t="str">
        <f ca="1" t="shared" si="27"/>
        <v/>
      </c>
      <c r="I232" s="26"/>
    </row>
    <row r="233" ht="36" customHeight="1" spans="1:9">
      <c r="A233" s="42"/>
      <c r="B233" s="43" t="str">
        <f t="shared" si="21"/>
        <v/>
      </c>
      <c r="C233" s="44" t="str">
        <f t="shared" si="22"/>
        <v>[]</v>
      </c>
      <c r="D233" s="45" t="str">
        <f t="shared" si="23"/>
        <v/>
      </c>
      <c r="E233" s="45" t="str">
        <f t="shared" si="24"/>
        <v/>
      </c>
      <c r="F233" s="46" t="str">
        <f t="shared" si="25"/>
        <v/>
      </c>
      <c r="G233" s="47" t="str">
        <f t="shared" si="26"/>
        <v/>
      </c>
      <c r="H233" s="48" t="str">
        <f ca="1" t="shared" si="27"/>
        <v/>
      </c>
      <c r="I233" s="26"/>
    </row>
    <row r="234" ht="36" customHeight="1" spans="1:9">
      <c r="A234" s="42"/>
      <c r="B234" s="43" t="str">
        <f t="shared" si="21"/>
        <v/>
      </c>
      <c r="C234" s="44" t="str">
        <f t="shared" si="22"/>
        <v>[]</v>
      </c>
      <c r="D234" s="45" t="str">
        <f t="shared" si="23"/>
        <v/>
      </c>
      <c r="E234" s="45" t="str">
        <f t="shared" si="24"/>
        <v/>
      </c>
      <c r="F234" s="46" t="str">
        <f t="shared" si="25"/>
        <v/>
      </c>
      <c r="G234" s="47" t="str">
        <f t="shared" si="26"/>
        <v/>
      </c>
      <c r="H234" s="48" t="str">
        <f ca="1" t="shared" si="27"/>
        <v/>
      </c>
      <c r="I234" s="26"/>
    </row>
    <row r="235" ht="36" customHeight="1" spans="1:9">
      <c r="A235" s="42"/>
      <c r="B235" s="43" t="str">
        <f t="shared" si="21"/>
        <v/>
      </c>
      <c r="C235" s="44" t="str">
        <f t="shared" si="22"/>
        <v>[]</v>
      </c>
      <c r="D235" s="45" t="str">
        <f t="shared" si="23"/>
        <v/>
      </c>
      <c r="E235" s="45" t="str">
        <f t="shared" si="24"/>
        <v/>
      </c>
      <c r="F235" s="46" t="str">
        <f t="shared" si="25"/>
        <v/>
      </c>
      <c r="G235" s="47" t="str">
        <f t="shared" si="26"/>
        <v/>
      </c>
      <c r="H235" s="48" t="str">
        <f ca="1" t="shared" si="27"/>
        <v/>
      </c>
      <c r="I235" s="26"/>
    </row>
    <row r="236" ht="36" customHeight="1" spans="1:9">
      <c r="A236" s="42"/>
      <c r="B236" s="43" t="str">
        <f t="shared" si="21"/>
        <v/>
      </c>
      <c r="C236" s="44" t="str">
        <f t="shared" si="22"/>
        <v>[]</v>
      </c>
      <c r="D236" s="45" t="str">
        <f t="shared" si="23"/>
        <v/>
      </c>
      <c r="E236" s="45" t="str">
        <f t="shared" si="24"/>
        <v/>
      </c>
      <c r="F236" s="46" t="str">
        <f t="shared" si="25"/>
        <v/>
      </c>
      <c r="G236" s="47" t="str">
        <f t="shared" si="26"/>
        <v/>
      </c>
      <c r="H236" s="48" t="str">
        <f ca="1" t="shared" si="27"/>
        <v/>
      </c>
      <c r="I236" s="26"/>
    </row>
    <row r="237" ht="36" customHeight="1" spans="1:9">
      <c r="A237" s="42"/>
      <c r="B237" s="43" t="str">
        <f t="shared" si="21"/>
        <v/>
      </c>
      <c r="C237" s="44" t="str">
        <f t="shared" si="22"/>
        <v>[]</v>
      </c>
      <c r="D237" s="45" t="str">
        <f t="shared" si="23"/>
        <v/>
      </c>
      <c r="E237" s="45" t="str">
        <f t="shared" si="24"/>
        <v/>
      </c>
      <c r="F237" s="46" t="str">
        <f t="shared" si="25"/>
        <v/>
      </c>
      <c r="G237" s="47" t="str">
        <f t="shared" si="26"/>
        <v/>
      </c>
      <c r="H237" s="48" t="str">
        <f ca="1" t="shared" si="27"/>
        <v/>
      </c>
      <c r="I237" s="26"/>
    </row>
    <row r="238" ht="36" customHeight="1" spans="1:9">
      <c r="A238" s="42"/>
      <c r="B238" s="43" t="str">
        <f t="shared" si="21"/>
        <v/>
      </c>
      <c r="C238" s="44" t="str">
        <f t="shared" si="22"/>
        <v>[]</v>
      </c>
      <c r="D238" s="45" t="str">
        <f t="shared" si="23"/>
        <v/>
      </c>
      <c r="E238" s="45" t="str">
        <f t="shared" si="24"/>
        <v/>
      </c>
      <c r="F238" s="46" t="str">
        <f t="shared" si="25"/>
        <v/>
      </c>
      <c r="G238" s="47" t="str">
        <f t="shared" si="26"/>
        <v/>
      </c>
      <c r="H238" s="48" t="str">
        <f ca="1" t="shared" si="27"/>
        <v/>
      </c>
      <c r="I238" s="26"/>
    </row>
    <row r="239" ht="36" customHeight="1" spans="1:9">
      <c r="A239" s="42"/>
      <c r="B239" s="43" t="str">
        <f t="shared" si="21"/>
        <v/>
      </c>
      <c r="C239" s="44" t="str">
        <f t="shared" si="22"/>
        <v>[]</v>
      </c>
      <c r="D239" s="45" t="str">
        <f t="shared" si="23"/>
        <v/>
      </c>
      <c r="E239" s="45" t="str">
        <f t="shared" si="24"/>
        <v/>
      </c>
      <c r="F239" s="46" t="str">
        <f t="shared" si="25"/>
        <v/>
      </c>
      <c r="G239" s="47" t="str">
        <f t="shared" si="26"/>
        <v/>
      </c>
      <c r="H239" s="48" t="str">
        <f ca="1" t="shared" si="27"/>
        <v/>
      </c>
      <c r="I239" s="26"/>
    </row>
    <row r="240" ht="36" customHeight="1" spans="1:9">
      <c r="A240" s="42"/>
      <c r="B240" s="43" t="str">
        <f t="shared" si="21"/>
        <v/>
      </c>
      <c r="C240" s="44" t="str">
        <f t="shared" si="22"/>
        <v>[]</v>
      </c>
      <c r="D240" s="45" t="str">
        <f t="shared" si="23"/>
        <v/>
      </c>
      <c r="E240" s="45" t="str">
        <f t="shared" si="24"/>
        <v/>
      </c>
      <c r="F240" s="46" t="str">
        <f t="shared" si="25"/>
        <v/>
      </c>
      <c r="G240" s="47" t="str">
        <f t="shared" si="26"/>
        <v/>
      </c>
      <c r="H240" s="48" t="str">
        <f ca="1" t="shared" si="27"/>
        <v/>
      </c>
      <c r="I240" s="26"/>
    </row>
    <row r="241" ht="36" customHeight="1" spans="1:9">
      <c r="A241" s="42"/>
      <c r="B241" s="43" t="str">
        <f t="shared" si="21"/>
        <v/>
      </c>
      <c r="C241" s="44" t="str">
        <f t="shared" si="22"/>
        <v>[]</v>
      </c>
      <c r="D241" s="45" t="str">
        <f t="shared" si="23"/>
        <v/>
      </c>
      <c r="E241" s="45" t="str">
        <f t="shared" si="24"/>
        <v/>
      </c>
      <c r="F241" s="46" t="str">
        <f t="shared" si="25"/>
        <v/>
      </c>
      <c r="G241" s="47" t="str">
        <f t="shared" si="26"/>
        <v/>
      </c>
      <c r="H241" s="48" t="str">
        <f ca="1" t="shared" si="27"/>
        <v/>
      </c>
      <c r="I241" s="26"/>
    </row>
    <row r="242" ht="36" customHeight="1" spans="1:9">
      <c r="A242" s="42"/>
      <c r="B242" s="43" t="str">
        <f t="shared" si="21"/>
        <v/>
      </c>
      <c r="C242" s="44" t="str">
        <f t="shared" si="22"/>
        <v>[]</v>
      </c>
      <c r="D242" s="45" t="str">
        <f t="shared" si="23"/>
        <v/>
      </c>
      <c r="E242" s="45" t="str">
        <f t="shared" si="24"/>
        <v/>
      </c>
      <c r="F242" s="46" t="str">
        <f t="shared" si="25"/>
        <v/>
      </c>
      <c r="G242" s="47" t="str">
        <f t="shared" si="26"/>
        <v/>
      </c>
      <c r="H242" s="48" t="str">
        <f ca="1" t="shared" si="27"/>
        <v/>
      </c>
      <c r="I242" s="26"/>
    </row>
    <row r="243" ht="36" customHeight="1" spans="1:9">
      <c r="A243" s="42"/>
      <c r="B243" s="43" t="str">
        <f t="shared" si="21"/>
        <v/>
      </c>
      <c r="C243" s="44" t="str">
        <f t="shared" si="22"/>
        <v>[]</v>
      </c>
      <c r="D243" s="45" t="str">
        <f t="shared" si="23"/>
        <v/>
      </c>
      <c r="E243" s="45" t="str">
        <f t="shared" si="24"/>
        <v/>
      </c>
      <c r="F243" s="46" t="str">
        <f t="shared" si="25"/>
        <v/>
      </c>
      <c r="G243" s="47" t="str">
        <f t="shared" si="26"/>
        <v/>
      </c>
      <c r="H243" s="48" t="str">
        <f ca="1" t="shared" si="27"/>
        <v/>
      </c>
      <c r="I243" s="26"/>
    </row>
    <row r="244" ht="36" customHeight="1" spans="1:9">
      <c r="A244" s="42"/>
      <c r="B244" s="43" t="str">
        <f t="shared" si="21"/>
        <v/>
      </c>
      <c r="C244" s="44" t="str">
        <f t="shared" si="22"/>
        <v>[]</v>
      </c>
      <c r="D244" s="45" t="str">
        <f t="shared" si="23"/>
        <v/>
      </c>
      <c r="E244" s="45" t="str">
        <f t="shared" si="24"/>
        <v/>
      </c>
      <c r="F244" s="46" t="str">
        <f t="shared" si="25"/>
        <v/>
      </c>
      <c r="G244" s="47" t="str">
        <f t="shared" si="26"/>
        <v/>
      </c>
      <c r="H244" s="48" t="str">
        <f ca="1" t="shared" si="27"/>
        <v/>
      </c>
      <c r="I244" s="26"/>
    </row>
    <row r="245" ht="36" customHeight="1" spans="1:9">
      <c r="A245" s="42"/>
      <c r="B245" s="43" t="str">
        <f t="shared" si="21"/>
        <v/>
      </c>
      <c r="C245" s="44" t="str">
        <f t="shared" si="22"/>
        <v>[]</v>
      </c>
      <c r="D245" s="45" t="str">
        <f t="shared" si="23"/>
        <v/>
      </c>
      <c r="E245" s="45" t="str">
        <f t="shared" si="24"/>
        <v/>
      </c>
      <c r="F245" s="46" t="str">
        <f t="shared" si="25"/>
        <v/>
      </c>
      <c r="G245" s="47" t="str">
        <f t="shared" si="26"/>
        <v/>
      </c>
      <c r="H245" s="48" t="str">
        <f ca="1" t="shared" si="27"/>
        <v/>
      </c>
      <c r="I245" s="26"/>
    </row>
    <row r="246" ht="36" customHeight="1" spans="1:9">
      <c r="A246" s="42"/>
      <c r="B246" s="43" t="str">
        <f t="shared" si="21"/>
        <v/>
      </c>
      <c r="C246" s="44" t="str">
        <f t="shared" si="22"/>
        <v>[]</v>
      </c>
      <c r="D246" s="45" t="str">
        <f t="shared" si="23"/>
        <v/>
      </c>
      <c r="E246" s="45" t="str">
        <f t="shared" si="24"/>
        <v/>
      </c>
      <c r="F246" s="46" t="str">
        <f t="shared" si="25"/>
        <v/>
      </c>
      <c r="G246" s="47" t="str">
        <f t="shared" si="26"/>
        <v/>
      </c>
      <c r="H246" s="48" t="str">
        <f ca="1" t="shared" si="27"/>
        <v/>
      </c>
      <c r="I246" s="26"/>
    </row>
    <row r="247" ht="36" customHeight="1" spans="1:9">
      <c r="A247" s="42"/>
      <c r="B247" s="43" t="str">
        <f t="shared" si="21"/>
        <v/>
      </c>
      <c r="C247" s="44" t="str">
        <f t="shared" si="22"/>
        <v>[]</v>
      </c>
      <c r="D247" s="45" t="str">
        <f t="shared" si="23"/>
        <v/>
      </c>
      <c r="E247" s="45" t="str">
        <f t="shared" si="24"/>
        <v/>
      </c>
      <c r="F247" s="46" t="str">
        <f t="shared" si="25"/>
        <v/>
      </c>
      <c r="G247" s="47" t="str">
        <f t="shared" si="26"/>
        <v/>
      </c>
      <c r="H247" s="48" t="str">
        <f ca="1" t="shared" si="27"/>
        <v/>
      </c>
      <c r="I247" s="26"/>
    </row>
    <row r="248" ht="36" customHeight="1" spans="1:9">
      <c r="A248" s="42"/>
      <c r="B248" s="43" t="str">
        <f t="shared" si="21"/>
        <v/>
      </c>
      <c r="C248" s="44" t="str">
        <f t="shared" si="22"/>
        <v>[]</v>
      </c>
      <c r="D248" s="45" t="str">
        <f t="shared" si="23"/>
        <v/>
      </c>
      <c r="E248" s="45" t="str">
        <f t="shared" si="24"/>
        <v/>
      </c>
      <c r="F248" s="46" t="str">
        <f t="shared" si="25"/>
        <v/>
      </c>
      <c r="G248" s="47" t="str">
        <f t="shared" si="26"/>
        <v/>
      </c>
      <c r="H248" s="48" t="str">
        <f ca="1" t="shared" si="27"/>
        <v/>
      </c>
      <c r="I248" s="26"/>
    </row>
    <row r="249" ht="36" customHeight="1" spans="1:9">
      <c r="A249" s="42"/>
      <c r="B249" s="43" t="str">
        <f t="shared" si="21"/>
        <v/>
      </c>
      <c r="C249" s="44" t="str">
        <f t="shared" si="22"/>
        <v>[]</v>
      </c>
      <c r="D249" s="45" t="str">
        <f t="shared" si="23"/>
        <v/>
      </c>
      <c r="E249" s="45" t="str">
        <f t="shared" si="24"/>
        <v/>
      </c>
      <c r="F249" s="46" t="str">
        <f t="shared" si="25"/>
        <v/>
      </c>
      <c r="G249" s="47" t="str">
        <f t="shared" si="26"/>
        <v/>
      </c>
      <c r="H249" s="48" t="str">
        <f ca="1" t="shared" si="27"/>
        <v/>
      </c>
      <c r="I249" s="26"/>
    </row>
    <row r="250" ht="36" customHeight="1" spans="1:9">
      <c r="A250" s="42"/>
      <c r="B250" s="43" t="str">
        <f t="shared" si="21"/>
        <v/>
      </c>
      <c r="C250" s="44" t="str">
        <f t="shared" si="22"/>
        <v>[]</v>
      </c>
      <c r="D250" s="45" t="str">
        <f t="shared" si="23"/>
        <v/>
      </c>
      <c r="E250" s="45" t="str">
        <f t="shared" si="24"/>
        <v/>
      </c>
      <c r="F250" s="46" t="str">
        <f t="shared" si="25"/>
        <v/>
      </c>
      <c r="G250" s="47" t="str">
        <f t="shared" si="26"/>
        <v/>
      </c>
      <c r="H250" s="48" t="str">
        <f ca="1" t="shared" si="27"/>
        <v/>
      </c>
      <c r="I250" s="26"/>
    </row>
    <row r="251" ht="36" customHeight="1" spans="1:9">
      <c r="A251" s="42"/>
      <c r="B251" s="43" t="str">
        <f t="shared" si="21"/>
        <v/>
      </c>
      <c r="C251" s="44" t="str">
        <f t="shared" si="22"/>
        <v>[]</v>
      </c>
      <c r="D251" s="45" t="str">
        <f t="shared" si="23"/>
        <v/>
      </c>
      <c r="E251" s="45" t="str">
        <f t="shared" si="24"/>
        <v/>
      </c>
      <c r="F251" s="46" t="str">
        <f t="shared" si="25"/>
        <v/>
      </c>
      <c r="G251" s="47" t="str">
        <f t="shared" si="26"/>
        <v/>
      </c>
      <c r="H251" s="48" t="str">
        <f ca="1" t="shared" si="27"/>
        <v/>
      </c>
      <c r="I251" s="26"/>
    </row>
    <row r="252" ht="36" customHeight="1" spans="1:9">
      <c r="A252" s="42"/>
      <c r="B252" s="43" t="str">
        <f t="shared" si="21"/>
        <v/>
      </c>
      <c r="C252" s="44" t="str">
        <f t="shared" si="22"/>
        <v>[]</v>
      </c>
      <c r="D252" s="45" t="str">
        <f t="shared" si="23"/>
        <v/>
      </c>
      <c r="E252" s="45" t="str">
        <f t="shared" si="24"/>
        <v/>
      </c>
      <c r="F252" s="46" t="str">
        <f t="shared" si="25"/>
        <v/>
      </c>
      <c r="G252" s="47" t="str">
        <f t="shared" si="26"/>
        <v/>
      </c>
      <c r="H252" s="48" t="str">
        <f ca="1" t="shared" si="27"/>
        <v/>
      </c>
      <c r="I252" s="26"/>
    </row>
    <row r="253" ht="36" customHeight="1" spans="1:9">
      <c r="A253" s="42"/>
      <c r="B253" s="43" t="str">
        <f t="shared" si="21"/>
        <v/>
      </c>
      <c r="C253" s="44" t="str">
        <f t="shared" si="22"/>
        <v>[]</v>
      </c>
      <c r="D253" s="45" t="str">
        <f t="shared" si="23"/>
        <v/>
      </c>
      <c r="E253" s="45" t="str">
        <f t="shared" si="24"/>
        <v/>
      </c>
      <c r="F253" s="46" t="str">
        <f t="shared" si="25"/>
        <v/>
      </c>
      <c r="G253" s="47" t="str">
        <f t="shared" si="26"/>
        <v/>
      </c>
      <c r="H253" s="48" t="str">
        <f ca="1" t="shared" si="27"/>
        <v/>
      </c>
      <c r="I253" s="26"/>
    </row>
    <row r="254" ht="36" customHeight="1" spans="1:9">
      <c r="A254" s="42"/>
      <c r="B254" s="43" t="str">
        <f t="shared" si="21"/>
        <v/>
      </c>
      <c r="C254" s="44" t="str">
        <f t="shared" si="22"/>
        <v>[]</v>
      </c>
      <c r="D254" s="45" t="str">
        <f t="shared" si="23"/>
        <v/>
      </c>
      <c r="E254" s="45" t="str">
        <f t="shared" si="24"/>
        <v/>
      </c>
      <c r="F254" s="46" t="str">
        <f t="shared" si="25"/>
        <v/>
      </c>
      <c r="G254" s="47" t="str">
        <f t="shared" si="26"/>
        <v/>
      </c>
      <c r="H254" s="48" t="str">
        <f ca="1" t="shared" si="27"/>
        <v/>
      </c>
      <c r="I254" s="26"/>
    </row>
    <row r="255" ht="36" customHeight="1" spans="1:9">
      <c r="A255" s="42"/>
      <c r="B255" s="43" t="str">
        <f t="shared" si="21"/>
        <v/>
      </c>
      <c r="C255" s="44" t="str">
        <f t="shared" si="22"/>
        <v>[]</v>
      </c>
      <c r="D255" s="45" t="str">
        <f t="shared" si="23"/>
        <v/>
      </c>
      <c r="E255" s="45" t="str">
        <f t="shared" si="24"/>
        <v/>
      </c>
      <c r="F255" s="46" t="str">
        <f t="shared" si="25"/>
        <v/>
      </c>
      <c r="G255" s="47" t="str">
        <f t="shared" si="26"/>
        <v/>
      </c>
      <c r="H255" s="48" t="str">
        <f ca="1" t="shared" si="27"/>
        <v/>
      </c>
      <c r="I255" s="26"/>
    </row>
    <row r="256" ht="36" customHeight="1" spans="1:9">
      <c r="A256" s="42"/>
      <c r="B256" s="43" t="str">
        <f t="shared" si="21"/>
        <v/>
      </c>
      <c r="C256" s="44" t="str">
        <f t="shared" si="22"/>
        <v>[]</v>
      </c>
      <c r="D256" s="45" t="str">
        <f t="shared" si="23"/>
        <v/>
      </c>
      <c r="E256" s="45" t="str">
        <f t="shared" si="24"/>
        <v/>
      </c>
      <c r="F256" s="46" t="str">
        <f t="shared" si="25"/>
        <v/>
      </c>
      <c r="G256" s="47" t="str">
        <f t="shared" si="26"/>
        <v/>
      </c>
      <c r="H256" s="48" t="str">
        <f ca="1" t="shared" si="27"/>
        <v/>
      </c>
      <c r="I256" s="26"/>
    </row>
    <row r="257" ht="36" customHeight="1" spans="1:9">
      <c r="A257" s="42"/>
      <c r="B257" s="43" t="str">
        <f t="shared" ref="B257:B320" si="28">IFERROR("@"&amp;MID(A257,SEARCH("{",A257)+1,SEARCH(",",A257)-SEARCH("{",A257)-1),"")</f>
        <v/>
      </c>
      <c r="C257" s="44" t="str">
        <f t="shared" ref="C257:C320" si="29">"["&amp;B257&amp;"]"</f>
        <v>[]</v>
      </c>
      <c r="D257" s="45" t="str">
        <f t="shared" ref="D257:D320" si="30">IFERROR(MID(A257,SEARCH("year = {",A257)+8,4),"")</f>
        <v/>
      </c>
      <c r="E257" s="45" t="str">
        <f t="shared" ref="E257:E320" si="31">IFERROR(MID(A257,SEARCH("author = {",A257)+10,SEARCH("}",A257,SEARCH("author = {",A257))-SEARCH("author = {",A257)-10),"")</f>
        <v/>
      </c>
      <c r="F257" s="46" t="str">
        <f t="shared" ref="F257:F320" si="32">IFERROR(IF(ISERROR(FIND("title =",A257)),"",MID(A257,FIND("title =",A257)+9,FIND("},",A257,FIND("title =",A257))-FIND("title =",A257)-9)),"")</f>
        <v/>
      </c>
      <c r="G257" s="47" t="str">
        <f t="shared" ref="G257:G320" si="33">IFERROR("https://doi.org/"&amp;MID(A257,SEARCH("doi = {",A257)+7,FIND("}",A257,SEARCH("doi = {",A257))-SEARCH("doi = {",A257)-7),"")</f>
        <v/>
      </c>
      <c r="H257" s="48" t="str">
        <f ca="1" t="shared" ref="H257:H320" si="34">IF(A257&lt;&gt;"",IF(H257&lt;&gt;"",H257,NOW()),"")</f>
        <v/>
      </c>
      <c r="I257" s="26"/>
    </row>
    <row r="258" ht="36" customHeight="1" spans="1:9">
      <c r="A258" s="42"/>
      <c r="B258" s="43" t="str">
        <f t="shared" si="28"/>
        <v/>
      </c>
      <c r="C258" s="44" t="str">
        <f t="shared" si="29"/>
        <v>[]</v>
      </c>
      <c r="D258" s="45" t="str">
        <f t="shared" si="30"/>
        <v/>
      </c>
      <c r="E258" s="45" t="str">
        <f t="shared" si="31"/>
        <v/>
      </c>
      <c r="F258" s="46" t="str">
        <f t="shared" si="32"/>
        <v/>
      </c>
      <c r="G258" s="47" t="str">
        <f t="shared" si="33"/>
        <v/>
      </c>
      <c r="H258" s="48" t="str">
        <f ca="1" t="shared" si="34"/>
        <v/>
      </c>
      <c r="I258" s="26"/>
    </row>
    <row r="259" ht="36" customHeight="1" spans="1:9">
      <c r="A259" s="42"/>
      <c r="B259" s="43" t="str">
        <f t="shared" si="28"/>
        <v/>
      </c>
      <c r="C259" s="44" t="str">
        <f t="shared" si="29"/>
        <v>[]</v>
      </c>
      <c r="D259" s="45" t="str">
        <f t="shared" si="30"/>
        <v/>
      </c>
      <c r="E259" s="45" t="str">
        <f t="shared" si="31"/>
        <v/>
      </c>
      <c r="F259" s="46" t="str">
        <f t="shared" si="32"/>
        <v/>
      </c>
      <c r="G259" s="47" t="str">
        <f t="shared" si="33"/>
        <v/>
      </c>
      <c r="H259" s="48" t="str">
        <f ca="1" t="shared" si="34"/>
        <v/>
      </c>
      <c r="I259" s="26"/>
    </row>
    <row r="260" ht="36" customHeight="1" spans="1:9">
      <c r="A260" s="42"/>
      <c r="B260" s="43" t="str">
        <f t="shared" si="28"/>
        <v/>
      </c>
      <c r="C260" s="44" t="str">
        <f t="shared" si="29"/>
        <v>[]</v>
      </c>
      <c r="D260" s="45" t="str">
        <f t="shared" si="30"/>
        <v/>
      </c>
      <c r="E260" s="45" t="str">
        <f t="shared" si="31"/>
        <v/>
      </c>
      <c r="F260" s="46" t="str">
        <f t="shared" si="32"/>
        <v/>
      </c>
      <c r="G260" s="47" t="str">
        <f t="shared" si="33"/>
        <v/>
      </c>
      <c r="H260" s="48" t="str">
        <f ca="1" t="shared" si="34"/>
        <v/>
      </c>
      <c r="I260" s="26"/>
    </row>
    <row r="261" ht="36" customHeight="1" spans="1:9">
      <c r="A261" s="42"/>
      <c r="B261" s="43" t="str">
        <f t="shared" si="28"/>
        <v/>
      </c>
      <c r="C261" s="44" t="str">
        <f t="shared" si="29"/>
        <v>[]</v>
      </c>
      <c r="D261" s="45" t="str">
        <f t="shared" si="30"/>
        <v/>
      </c>
      <c r="E261" s="45" t="str">
        <f t="shared" si="31"/>
        <v/>
      </c>
      <c r="F261" s="46" t="str">
        <f t="shared" si="32"/>
        <v/>
      </c>
      <c r="G261" s="47" t="str">
        <f t="shared" si="33"/>
        <v/>
      </c>
      <c r="H261" s="48" t="str">
        <f ca="1" t="shared" si="34"/>
        <v/>
      </c>
      <c r="I261" s="26"/>
    </row>
    <row r="262" ht="36" customHeight="1" spans="1:9">
      <c r="A262" s="42"/>
      <c r="B262" s="43" t="str">
        <f t="shared" si="28"/>
        <v/>
      </c>
      <c r="C262" s="44" t="str">
        <f t="shared" si="29"/>
        <v>[]</v>
      </c>
      <c r="D262" s="45" t="str">
        <f t="shared" si="30"/>
        <v/>
      </c>
      <c r="E262" s="45" t="str">
        <f t="shared" si="31"/>
        <v/>
      </c>
      <c r="F262" s="46" t="str">
        <f t="shared" si="32"/>
        <v/>
      </c>
      <c r="G262" s="47" t="str">
        <f t="shared" si="33"/>
        <v/>
      </c>
      <c r="H262" s="48" t="str">
        <f ca="1" t="shared" si="34"/>
        <v/>
      </c>
      <c r="I262" s="26"/>
    </row>
    <row r="263" ht="36" customHeight="1" spans="1:9">
      <c r="A263" s="42"/>
      <c r="B263" s="43" t="str">
        <f t="shared" si="28"/>
        <v/>
      </c>
      <c r="C263" s="44" t="str">
        <f t="shared" si="29"/>
        <v>[]</v>
      </c>
      <c r="D263" s="45" t="str">
        <f t="shared" si="30"/>
        <v/>
      </c>
      <c r="E263" s="45" t="str">
        <f t="shared" si="31"/>
        <v/>
      </c>
      <c r="F263" s="46" t="str">
        <f t="shared" si="32"/>
        <v/>
      </c>
      <c r="G263" s="47" t="str">
        <f t="shared" si="33"/>
        <v/>
      </c>
      <c r="H263" s="48" t="str">
        <f ca="1" t="shared" si="34"/>
        <v/>
      </c>
      <c r="I263" s="26"/>
    </row>
    <row r="264" ht="36" customHeight="1" spans="1:9">
      <c r="A264" s="42"/>
      <c r="B264" s="43" t="str">
        <f t="shared" si="28"/>
        <v/>
      </c>
      <c r="C264" s="44" t="str">
        <f t="shared" si="29"/>
        <v>[]</v>
      </c>
      <c r="D264" s="45" t="str">
        <f t="shared" si="30"/>
        <v/>
      </c>
      <c r="E264" s="45" t="str">
        <f t="shared" si="31"/>
        <v/>
      </c>
      <c r="F264" s="46" t="str">
        <f t="shared" si="32"/>
        <v/>
      </c>
      <c r="G264" s="47" t="str">
        <f t="shared" si="33"/>
        <v/>
      </c>
      <c r="H264" s="48" t="str">
        <f ca="1" t="shared" si="34"/>
        <v/>
      </c>
      <c r="I264" s="26"/>
    </row>
    <row r="265" ht="36" customHeight="1" spans="1:9">
      <c r="A265" s="42"/>
      <c r="B265" s="43" t="str">
        <f t="shared" si="28"/>
        <v/>
      </c>
      <c r="C265" s="44" t="str">
        <f t="shared" si="29"/>
        <v>[]</v>
      </c>
      <c r="D265" s="45" t="str">
        <f t="shared" si="30"/>
        <v/>
      </c>
      <c r="E265" s="45" t="str">
        <f t="shared" si="31"/>
        <v/>
      </c>
      <c r="F265" s="46" t="str">
        <f t="shared" si="32"/>
        <v/>
      </c>
      <c r="G265" s="47" t="str">
        <f t="shared" si="33"/>
        <v/>
      </c>
      <c r="H265" s="48" t="str">
        <f ca="1" t="shared" si="34"/>
        <v/>
      </c>
      <c r="I265" s="26"/>
    </row>
    <row r="266" ht="36" customHeight="1" spans="1:9">
      <c r="A266" s="42"/>
      <c r="B266" s="43" t="str">
        <f t="shared" si="28"/>
        <v/>
      </c>
      <c r="C266" s="44" t="str">
        <f t="shared" si="29"/>
        <v>[]</v>
      </c>
      <c r="D266" s="45" t="str">
        <f t="shared" si="30"/>
        <v/>
      </c>
      <c r="E266" s="45" t="str">
        <f t="shared" si="31"/>
        <v/>
      </c>
      <c r="F266" s="46" t="str">
        <f t="shared" si="32"/>
        <v/>
      </c>
      <c r="G266" s="47" t="str">
        <f t="shared" si="33"/>
        <v/>
      </c>
      <c r="H266" s="48" t="str">
        <f ca="1" t="shared" si="34"/>
        <v/>
      </c>
      <c r="I266" s="26"/>
    </row>
    <row r="267" ht="36" customHeight="1" spans="1:9">
      <c r="A267" s="42"/>
      <c r="B267" s="43" t="str">
        <f t="shared" si="28"/>
        <v/>
      </c>
      <c r="C267" s="44" t="str">
        <f t="shared" si="29"/>
        <v>[]</v>
      </c>
      <c r="D267" s="45" t="str">
        <f t="shared" si="30"/>
        <v/>
      </c>
      <c r="E267" s="45" t="str">
        <f t="shared" si="31"/>
        <v/>
      </c>
      <c r="F267" s="46" t="str">
        <f t="shared" si="32"/>
        <v/>
      </c>
      <c r="G267" s="47" t="str">
        <f t="shared" si="33"/>
        <v/>
      </c>
      <c r="H267" s="48" t="str">
        <f ca="1" t="shared" si="34"/>
        <v/>
      </c>
      <c r="I267" s="26"/>
    </row>
    <row r="268" ht="36" customHeight="1" spans="1:9">
      <c r="A268" s="42"/>
      <c r="B268" s="43" t="str">
        <f t="shared" si="28"/>
        <v/>
      </c>
      <c r="C268" s="44" t="str">
        <f t="shared" si="29"/>
        <v>[]</v>
      </c>
      <c r="D268" s="45" t="str">
        <f t="shared" si="30"/>
        <v/>
      </c>
      <c r="E268" s="45" t="str">
        <f t="shared" si="31"/>
        <v/>
      </c>
      <c r="F268" s="46" t="str">
        <f t="shared" si="32"/>
        <v/>
      </c>
      <c r="G268" s="47" t="str">
        <f t="shared" si="33"/>
        <v/>
      </c>
      <c r="H268" s="48" t="str">
        <f ca="1" t="shared" si="34"/>
        <v/>
      </c>
      <c r="I268" s="26"/>
    </row>
    <row r="269" ht="36" customHeight="1" spans="1:9">
      <c r="A269" s="42"/>
      <c r="B269" s="43" t="str">
        <f t="shared" si="28"/>
        <v/>
      </c>
      <c r="C269" s="44" t="str">
        <f t="shared" si="29"/>
        <v>[]</v>
      </c>
      <c r="D269" s="45" t="str">
        <f t="shared" si="30"/>
        <v/>
      </c>
      <c r="E269" s="45" t="str">
        <f t="shared" si="31"/>
        <v/>
      </c>
      <c r="F269" s="46" t="str">
        <f t="shared" si="32"/>
        <v/>
      </c>
      <c r="G269" s="47" t="str">
        <f t="shared" si="33"/>
        <v/>
      </c>
      <c r="H269" s="48" t="str">
        <f ca="1" t="shared" si="34"/>
        <v/>
      </c>
      <c r="I269" s="26"/>
    </row>
    <row r="270" ht="36" customHeight="1" spans="1:9">
      <c r="A270" s="42"/>
      <c r="B270" s="43" t="str">
        <f t="shared" si="28"/>
        <v/>
      </c>
      <c r="C270" s="44" t="str">
        <f t="shared" si="29"/>
        <v>[]</v>
      </c>
      <c r="D270" s="45" t="str">
        <f t="shared" si="30"/>
        <v/>
      </c>
      <c r="E270" s="45" t="str">
        <f t="shared" si="31"/>
        <v/>
      </c>
      <c r="F270" s="46" t="str">
        <f t="shared" si="32"/>
        <v/>
      </c>
      <c r="G270" s="47" t="str">
        <f t="shared" si="33"/>
        <v/>
      </c>
      <c r="H270" s="48" t="str">
        <f ca="1" t="shared" si="34"/>
        <v/>
      </c>
      <c r="I270" s="26"/>
    </row>
    <row r="271" ht="36" customHeight="1" spans="1:9">
      <c r="A271" s="42"/>
      <c r="B271" s="43" t="str">
        <f t="shared" si="28"/>
        <v/>
      </c>
      <c r="C271" s="44" t="str">
        <f t="shared" si="29"/>
        <v>[]</v>
      </c>
      <c r="D271" s="45" t="str">
        <f t="shared" si="30"/>
        <v/>
      </c>
      <c r="E271" s="45" t="str">
        <f t="shared" si="31"/>
        <v/>
      </c>
      <c r="F271" s="46" t="str">
        <f t="shared" si="32"/>
        <v/>
      </c>
      <c r="G271" s="47" t="str">
        <f t="shared" si="33"/>
        <v/>
      </c>
      <c r="H271" s="48" t="str">
        <f ca="1" t="shared" si="34"/>
        <v/>
      </c>
      <c r="I271" s="26"/>
    </row>
    <row r="272" ht="36" customHeight="1" spans="1:9">
      <c r="A272" s="42"/>
      <c r="B272" s="43" t="str">
        <f t="shared" si="28"/>
        <v/>
      </c>
      <c r="C272" s="44" t="str">
        <f t="shared" si="29"/>
        <v>[]</v>
      </c>
      <c r="D272" s="45" t="str">
        <f t="shared" si="30"/>
        <v/>
      </c>
      <c r="E272" s="45" t="str">
        <f t="shared" si="31"/>
        <v/>
      </c>
      <c r="F272" s="46" t="str">
        <f t="shared" si="32"/>
        <v/>
      </c>
      <c r="G272" s="47" t="str">
        <f t="shared" si="33"/>
        <v/>
      </c>
      <c r="H272" s="48" t="str">
        <f ca="1" t="shared" si="34"/>
        <v/>
      </c>
      <c r="I272" s="26"/>
    </row>
    <row r="273" ht="36" customHeight="1" spans="1:9">
      <c r="A273" s="42"/>
      <c r="B273" s="43" t="str">
        <f t="shared" si="28"/>
        <v/>
      </c>
      <c r="C273" s="44" t="str">
        <f t="shared" si="29"/>
        <v>[]</v>
      </c>
      <c r="D273" s="45" t="str">
        <f t="shared" si="30"/>
        <v/>
      </c>
      <c r="E273" s="45" t="str">
        <f t="shared" si="31"/>
        <v/>
      </c>
      <c r="F273" s="46" t="str">
        <f t="shared" si="32"/>
        <v/>
      </c>
      <c r="G273" s="47" t="str">
        <f t="shared" si="33"/>
        <v/>
      </c>
      <c r="H273" s="48" t="str">
        <f ca="1" t="shared" si="34"/>
        <v/>
      </c>
      <c r="I273" s="26"/>
    </row>
    <row r="274" ht="36" customHeight="1" spans="1:9">
      <c r="A274" s="42"/>
      <c r="B274" s="43" t="str">
        <f t="shared" si="28"/>
        <v/>
      </c>
      <c r="C274" s="44" t="str">
        <f t="shared" si="29"/>
        <v>[]</v>
      </c>
      <c r="D274" s="45" t="str">
        <f t="shared" si="30"/>
        <v/>
      </c>
      <c r="E274" s="45" t="str">
        <f t="shared" si="31"/>
        <v/>
      </c>
      <c r="F274" s="46" t="str">
        <f t="shared" si="32"/>
        <v/>
      </c>
      <c r="G274" s="47" t="str">
        <f t="shared" si="33"/>
        <v/>
      </c>
      <c r="H274" s="48" t="str">
        <f ca="1" t="shared" si="34"/>
        <v/>
      </c>
      <c r="I274" s="26"/>
    </row>
    <row r="275" ht="36" customHeight="1" spans="1:9">
      <c r="A275" s="42"/>
      <c r="B275" s="43" t="str">
        <f t="shared" si="28"/>
        <v/>
      </c>
      <c r="C275" s="44" t="str">
        <f t="shared" si="29"/>
        <v>[]</v>
      </c>
      <c r="D275" s="45" t="str">
        <f t="shared" si="30"/>
        <v/>
      </c>
      <c r="E275" s="45" t="str">
        <f t="shared" si="31"/>
        <v/>
      </c>
      <c r="F275" s="46" t="str">
        <f t="shared" si="32"/>
        <v/>
      </c>
      <c r="G275" s="47" t="str">
        <f t="shared" si="33"/>
        <v/>
      </c>
      <c r="H275" s="48" t="str">
        <f ca="1" t="shared" si="34"/>
        <v/>
      </c>
      <c r="I275" s="26"/>
    </row>
    <row r="276" ht="36" customHeight="1" spans="1:9">
      <c r="A276" s="42"/>
      <c r="B276" s="43" t="str">
        <f t="shared" si="28"/>
        <v/>
      </c>
      <c r="C276" s="44" t="str">
        <f t="shared" si="29"/>
        <v>[]</v>
      </c>
      <c r="D276" s="45" t="str">
        <f t="shared" si="30"/>
        <v/>
      </c>
      <c r="E276" s="45" t="str">
        <f t="shared" si="31"/>
        <v/>
      </c>
      <c r="F276" s="46" t="str">
        <f t="shared" si="32"/>
        <v/>
      </c>
      <c r="G276" s="47" t="str">
        <f t="shared" si="33"/>
        <v/>
      </c>
      <c r="H276" s="48" t="str">
        <f ca="1" t="shared" si="34"/>
        <v/>
      </c>
      <c r="I276" s="26"/>
    </row>
    <row r="277" ht="36" customHeight="1" spans="1:9">
      <c r="A277" s="42"/>
      <c r="B277" s="43" t="str">
        <f t="shared" si="28"/>
        <v/>
      </c>
      <c r="C277" s="44" t="str">
        <f t="shared" si="29"/>
        <v>[]</v>
      </c>
      <c r="D277" s="45" t="str">
        <f t="shared" si="30"/>
        <v/>
      </c>
      <c r="E277" s="45" t="str">
        <f t="shared" si="31"/>
        <v/>
      </c>
      <c r="F277" s="46" t="str">
        <f t="shared" si="32"/>
        <v/>
      </c>
      <c r="G277" s="47" t="str">
        <f t="shared" si="33"/>
        <v/>
      </c>
      <c r="H277" s="48" t="str">
        <f ca="1" t="shared" si="34"/>
        <v/>
      </c>
      <c r="I277" s="26"/>
    </row>
    <row r="278" ht="36" customHeight="1" spans="1:9">
      <c r="A278" s="42"/>
      <c r="B278" s="43" t="str">
        <f t="shared" si="28"/>
        <v/>
      </c>
      <c r="C278" s="44" t="str">
        <f t="shared" si="29"/>
        <v>[]</v>
      </c>
      <c r="D278" s="45" t="str">
        <f t="shared" si="30"/>
        <v/>
      </c>
      <c r="E278" s="45" t="str">
        <f t="shared" si="31"/>
        <v/>
      </c>
      <c r="F278" s="46" t="str">
        <f t="shared" si="32"/>
        <v/>
      </c>
      <c r="G278" s="47" t="str">
        <f t="shared" si="33"/>
        <v/>
      </c>
      <c r="H278" s="48" t="str">
        <f ca="1" t="shared" si="34"/>
        <v/>
      </c>
      <c r="I278" s="26"/>
    </row>
    <row r="279" ht="36" customHeight="1" spans="1:9">
      <c r="A279" s="42"/>
      <c r="B279" s="43" t="str">
        <f t="shared" si="28"/>
        <v/>
      </c>
      <c r="C279" s="44" t="str">
        <f t="shared" si="29"/>
        <v>[]</v>
      </c>
      <c r="D279" s="45" t="str">
        <f t="shared" si="30"/>
        <v/>
      </c>
      <c r="E279" s="45" t="str">
        <f t="shared" si="31"/>
        <v/>
      </c>
      <c r="F279" s="46" t="str">
        <f t="shared" si="32"/>
        <v/>
      </c>
      <c r="G279" s="47" t="str">
        <f t="shared" si="33"/>
        <v/>
      </c>
      <c r="H279" s="48" t="str">
        <f ca="1" t="shared" si="34"/>
        <v/>
      </c>
      <c r="I279" s="26"/>
    </row>
    <row r="280" ht="36" customHeight="1" spans="1:9">
      <c r="A280" s="42"/>
      <c r="B280" s="43" t="str">
        <f t="shared" si="28"/>
        <v/>
      </c>
      <c r="C280" s="44" t="str">
        <f t="shared" si="29"/>
        <v>[]</v>
      </c>
      <c r="D280" s="45" t="str">
        <f t="shared" si="30"/>
        <v/>
      </c>
      <c r="E280" s="45" t="str">
        <f t="shared" si="31"/>
        <v/>
      </c>
      <c r="F280" s="46" t="str">
        <f t="shared" si="32"/>
        <v/>
      </c>
      <c r="G280" s="47" t="str">
        <f t="shared" si="33"/>
        <v/>
      </c>
      <c r="H280" s="48" t="str">
        <f ca="1" t="shared" si="34"/>
        <v/>
      </c>
      <c r="I280" s="26"/>
    </row>
    <row r="281" ht="36" customHeight="1" spans="1:9">
      <c r="A281" s="42"/>
      <c r="B281" s="43" t="str">
        <f t="shared" si="28"/>
        <v/>
      </c>
      <c r="C281" s="44" t="str">
        <f t="shared" si="29"/>
        <v>[]</v>
      </c>
      <c r="D281" s="45" t="str">
        <f t="shared" si="30"/>
        <v/>
      </c>
      <c r="E281" s="45" t="str">
        <f t="shared" si="31"/>
        <v/>
      </c>
      <c r="F281" s="46" t="str">
        <f t="shared" si="32"/>
        <v/>
      </c>
      <c r="G281" s="47" t="str">
        <f t="shared" si="33"/>
        <v/>
      </c>
      <c r="H281" s="48" t="str">
        <f ca="1" t="shared" si="34"/>
        <v/>
      </c>
      <c r="I281" s="26"/>
    </row>
    <row r="282" ht="36" customHeight="1" spans="1:9">
      <c r="A282" s="42"/>
      <c r="B282" s="43" t="str">
        <f t="shared" si="28"/>
        <v/>
      </c>
      <c r="C282" s="44" t="str">
        <f t="shared" si="29"/>
        <v>[]</v>
      </c>
      <c r="D282" s="45" t="str">
        <f t="shared" si="30"/>
        <v/>
      </c>
      <c r="E282" s="45" t="str">
        <f t="shared" si="31"/>
        <v/>
      </c>
      <c r="F282" s="46" t="str">
        <f t="shared" si="32"/>
        <v/>
      </c>
      <c r="G282" s="47" t="str">
        <f t="shared" si="33"/>
        <v/>
      </c>
      <c r="H282" s="48" t="str">
        <f ca="1" t="shared" si="34"/>
        <v/>
      </c>
      <c r="I282" s="26"/>
    </row>
    <row r="283" ht="36" customHeight="1" spans="1:9">
      <c r="A283" s="42"/>
      <c r="B283" s="43" t="str">
        <f t="shared" si="28"/>
        <v/>
      </c>
      <c r="C283" s="44" t="str">
        <f t="shared" si="29"/>
        <v>[]</v>
      </c>
      <c r="D283" s="45" t="str">
        <f t="shared" si="30"/>
        <v/>
      </c>
      <c r="E283" s="45" t="str">
        <f t="shared" si="31"/>
        <v/>
      </c>
      <c r="F283" s="46" t="str">
        <f t="shared" si="32"/>
        <v/>
      </c>
      <c r="G283" s="47" t="str">
        <f t="shared" si="33"/>
        <v/>
      </c>
      <c r="H283" s="48" t="str">
        <f ca="1" t="shared" si="34"/>
        <v/>
      </c>
      <c r="I283" s="26"/>
    </row>
    <row r="284" ht="36" customHeight="1" spans="1:9">
      <c r="A284" s="42"/>
      <c r="B284" s="43" t="str">
        <f t="shared" si="28"/>
        <v/>
      </c>
      <c r="C284" s="44" t="str">
        <f t="shared" si="29"/>
        <v>[]</v>
      </c>
      <c r="D284" s="45" t="str">
        <f t="shared" si="30"/>
        <v/>
      </c>
      <c r="E284" s="45" t="str">
        <f t="shared" si="31"/>
        <v/>
      </c>
      <c r="F284" s="46" t="str">
        <f t="shared" si="32"/>
        <v/>
      </c>
      <c r="G284" s="47" t="str">
        <f t="shared" si="33"/>
        <v/>
      </c>
      <c r="H284" s="48" t="str">
        <f ca="1" t="shared" si="34"/>
        <v/>
      </c>
      <c r="I284" s="26"/>
    </row>
    <row r="285" ht="36" customHeight="1" spans="1:9">
      <c r="A285" s="42"/>
      <c r="B285" s="43" t="str">
        <f t="shared" si="28"/>
        <v/>
      </c>
      <c r="C285" s="44" t="str">
        <f t="shared" si="29"/>
        <v>[]</v>
      </c>
      <c r="D285" s="45" t="str">
        <f t="shared" si="30"/>
        <v/>
      </c>
      <c r="E285" s="45" t="str">
        <f t="shared" si="31"/>
        <v/>
      </c>
      <c r="F285" s="46" t="str">
        <f t="shared" si="32"/>
        <v/>
      </c>
      <c r="G285" s="47" t="str">
        <f t="shared" si="33"/>
        <v/>
      </c>
      <c r="H285" s="48" t="str">
        <f ca="1" t="shared" si="34"/>
        <v/>
      </c>
      <c r="I285" s="26"/>
    </row>
    <row r="286" ht="36" customHeight="1" spans="1:9">
      <c r="A286" s="42"/>
      <c r="B286" s="43" t="str">
        <f t="shared" si="28"/>
        <v/>
      </c>
      <c r="C286" s="44" t="str">
        <f t="shared" si="29"/>
        <v>[]</v>
      </c>
      <c r="D286" s="45" t="str">
        <f t="shared" si="30"/>
        <v/>
      </c>
      <c r="E286" s="45" t="str">
        <f t="shared" si="31"/>
        <v/>
      </c>
      <c r="F286" s="46" t="str">
        <f t="shared" si="32"/>
        <v/>
      </c>
      <c r="G286" s="47" t="str">
        <f t="shared" si="33"/>
        <v/>
      </c>
      <c r="H286" s="48" t="str">
        <f ca="1" t="shared" si="34"/>
        <v/>
      </c>
      <c r="I286" s="26"/>
    </row>
    <row r="287" ht="36" customHeight="1" spans="1:9">
      <c r="A287" s="42"/>
      <c r="B287" s="43" t="str">
        <f t="shared" si="28"/>
        <v/>
      </c>
      <c r="C287" s="44" t="str">
        <f t="shared" si="29"/>
        <v>[]</v>
      </c>
      <c r="D287" s="45" t="str">
        <f t="shared" si="30"/>
        <v/>
      </c>
      <c r="E287" s="45" t="str">
        <f t="shared" si="31"/>
        <v/>
      </c>
      <c r="F287" s="46" t="str">
        <f t="shared" si="32"/>
        <v/>
      </c>
      <c r="G287" s="47" t="str">
        <f t="shared" si="33"/>
        <v/>
      </c>
      <c r="H287" s="48" t="str">
        <f ca="1" t="shared" si="34"/>
        <v/>
      </c>
      <c r="I287" s="26"/>
    </row>
    <row r="288" ht="36" customHeight="1" spans="1:9">
      <c r="A288" s="42"/>
      <c r="B288" s="43" t="str">
        <f t="shared" si="28"/>
        <v/>
      </c>
      <c r="C288" s="44" t="str">
        <f t="shared" si="29"/>
        <v>[]</v>
      </c>
      <c r="D288" s="45" t="str">
        <f t="shared" si="30"/>
        <v/>
      </c>
      <c r="E288" s="45" t="str">
        <f t="shared" si="31"/>
        <v/>
      </c>
      <c r="F288" s="46" t="str">
        <f t="shared" si="32"/>
        <v/>
      </c>
      <c r="G288" s="47" t="str">
        <f t="shared" si="33"/>
        <v/>
      </c>
      <c r="H288" s="48" t="str">
        <f ca="1" t="shared" si="34"/>
        <v/>
      </c>
      <c r="I288" s="26"/>
    </row>
    <row r="289" ht="36" customHeight="1" spans="1:9">
      <c r="A289" s="42"/>
      <c r="B289" s="43" t="str">
        <f t="shared" si="28"/>
        <v/>
      </c>
      <c r="C289" s="44" t="str">
        <f t="shared" si="29"/>
        <v>[]</v>
      </c>
      <c r="D289" s="45" t="str">
        <f t="shared" si="30"/>
        <v/>
      </c>
      <c r="E289" s="45" t="str">
        <f t="shared" si="31"/>
        <v/>
      </c>
      <c r="F289" s="46" t="str">
        <f t="shared" si="32"/>
        <v/>
      </c>
      <c r="G289" s="47" t="str">
        <f t="shared" si="33"/>
        <v/>
      </c>
      <c r="H289" s="48" t="str">
        <f ca="1" t="shared" si="34"/>
        <v/>
      </c>
      <c r="I289" s="26"/>
    </row>
    <row r="290" ht="36" customHeight="1" spans="1:9">
      <c r="A290" s="42"/>
      <c r="B290" s="43" t="str">
        <f t="shared" si="28"/>
        <v/>
      </c>
      <c r="C290" s="44" t="str">
        <f t="shared" si="29"/>
        <v>[]</v>
      </c>
      <c r="D290" s="45" t="str">
        <f t="shared" si="30"/>
        <v/>
      </c>
      <c r="E290" s="45" t="str">
        <f t="shared" si="31"/>
        <v/>
      </c>
      <c r="F290" s="46" t="str">
        <f t="shared" si="32"/>
        <v/>
      </c>
      <c r="G290" s="47" t="str">
        <f t="shared" si="33"/>
        <v/>
      </c>
      <c r="H290" s="48" t="str">
        <f ca="1" t="shared" si="34"/>
        <v/>
      </c>
      <c r="I290" s="26"/>
    </row>
    <row r="291" ht="36" customHeight="1" spans="1:9">
      <c r="A291" s="42"/>
      <c r="B291" s="43" t="str">
        <f t="shared" si="28"/>
        <v/>
      </c>
      <c r="C291" s="44" t="str">
        <f t="shared" si="29"/>
        <v>[]</v>
      </c>
      <c r="D291" s="45" t="str">
        <f t="shared" si="30"/>
        <v/>
      </c>
      <c r="E291" s="45" t="str">
        <f t="shared" si="31"/>
        <v/>
      </c>
      <c r="F291" s="46" t="str">
        <f t="shared" si="32"/>
        <v/>
      </c>
      <c r="G291" s="47" t="str">
        <f t="shared" si="33"/>
        <v/>
      </c>
      <c r="H291" s="48" t="str">
        <f ca="1" t="shared" si="34"/>
        <v/>
      </c>
      <c r="I291" s="26"/>
    </row>
    <row r="292" ht="36" customHeight="1" spans="1:9">
      <c r="A292" s="42"/>
      <c r="B292" s="43" t="str">
        <f t="shared" si="28"/>
        <v/>
      </c>
      <c r="C292" s="44" t="str">
        <f t="shared" si="29"/>
        <v>[]</v>
      </c>
      <c r="D292" s="45" t="str">
        <f t="shared" si="30"/>
        <v/>
      </c>
      <c r="E292" s="45" t="str">
        <f t="shared" si="31"/>
        <v/>
      </c>
      <c r="F292" s="46" t="str">
        <f t="shared" si="32"/>
        <v/>
      </c>
      <c r="G292" s="47" t="str">
        <f t="shared" si="33"/>
        <v/>
      </c>
      <c r="H292" s="48" t="str">
        <f ca="1" t="shared" si="34"/>
        <v/>
      </c>
      <c r="I292" s="26"/>
    </row>
    <row r="293" ht="36" customHeight="1" spans="1:9">
      <c r="A293" s="42"/>
      <c r="B293" s="43" t="str">
        <f t="shared" si="28"/>
        <v/>
      </c>
      <c r="C293" s="44" t="str">
        <f t="shared" si="29"/>
        <v>[]</v>
      </c>
      <c r="D293" s="45" t="str">
        <f t="shared" si="30"/>
        <v/>
      </c>
      <c r="E293" s="45" t="str">
        <f t="shared" si="31"/>
        <v/>
      </c>
      <c r="F293" s="46" t="str">
        <f t="shared" si="32"/>
        <v/>
      </c>
      <c r="G293" s="47" t="str">
        <f t="shared" si="33"/>
        <v/>
      </c>
      <c r="H293" s="48" t="str">
        <f ca="1" t="shared" si="34"/>
        <v/>
      </c>
      <c r="I293" s="26"/>
    </row>
    <row r="294" ht="36" customHeight="1" spans="1:9">
      <c r="A294" s="42"/>
      <c r="B294" s="43" t="str">
        <f t="shared" si="28"/>
        <v/>
      </c>
      <c r="C294" s="44" t="str">
        <f t="shared" si="29"/>
        <v>[]</v>
      </c>
      <c r="D294" s="45" t="str">
        <f t="shared" si="30"/>
        <v/>
      </c>
      <c r="E294" s="45" t="str">
        <f t="shared" si="31"/>
        <v/>
      </c>
      <c r="F294" s="46" t="str">
        <f t="shared" si="32"/>
        <v/>
      </c>
      <c r="G294" s="47" t="str">
        <f t="shared" si="33"/>
        <v/>
      </c>
      <c r="H294" s="48" t="str">
        <f ca="1" t="shared" si="34"/>
        <v/>
      </c>
      <c r="I294" s="26"/>
    </row>
    <row r="295" ht="36" customHeight="1" spans="1:9">
      <c r="A295" s="42"/>
      <c r="B295" s="43" t="str">
        <f t="shared" si="28"/>
        <v/>
      </c>
      <c r="C295" s="44" t="str">
        <f t="shared" si="29"/>
        <v>[]</v>
      </c>
      <c r="D295" s="45" t="str">
        <f t="shared" si="30"/>
        <v/>
      </c>
      <c r="E295" s="45" t="str">
        <f t="shared" si="31"/>
        <v/>
      </c>
      <c r="F295" s="46" t="str">
        <f t="shared" si="32"/>
        <v/>
      </c>
      <c r="G295" s="47" t="str">
        <f t="shared" si="33"/>
        <v/>
      </c>
      <c r="H295" s="48" t="str">
        <f ca="1" t="shared" si="34"/>
        <v/>
      </c>
      <c r="I295" s="26"/>
    </row>
    <row r="296" ht="36" customHeight="1" spans="1:9">
      <c r="A296" s="42"/>
      <c r="B296" s="43" t="str">
        <f t="shared" si="28"/>
        <v/>
      </c>
      <c r="C296" s="44" t="str">
        <f t="shared" si="29"/>
        <v>[]</v>
      </c>
      <c r="D296" s="45" t="str">
        <f t="shared" si="30"/>
        <v/>
      </c>
      <c r="E296" s="45" t="str">
        <f t="shared" si="31"/>
        <v/>
      </c>
      <c r="F296" s="46" t="str">
        <f t="shared" si="32"/>
        <v/>
      </c>
      <c r="G296" s="47" t="str">
        <f t="shared" si="33"/>
        <v/>
      </c>
      <c r="H296" s="48" t="str">
        <f ca="1" t="shared" si="34"/>
        <v/>
      </c>
      <c r="I296" s="26"/>
    </row>
    <row r="297" ht="36" customHeight="1" spans="1:9">
      <c r="A297" s="42"/>
      <c r="B297" s="43" t="str">
        <f t="shared" si="28"/>
        <v/>
      </c>
      <c r="C297" s="44" t="str">
        <f t="shared" si="29"/>
        <v>[]</v>
      </c>
      <c r="D297" s="45" t="str">
        <f t="shared" si="30"/>
        <v/>
      </c>
      <c r="E297" s="45" t="str">
        <f t="shared" si="31"/>
        <v/>
      </c>
      <c r="F297" s="46" t="str">
        <f t="shared" si="32"/>
        <v/>
      </c>
      <c r="G297" s="47" t="str">
        <f t="shared" si="33"/>
        <v/>
      </c>
      <c r="H297" s="48" t="str">
        <f ca="1" t="shared" si="34"/>
        <v/>
      </c>
      <c r="I297" s="26"/>
    </row>
    <row r="298" ht="36" customHeight="1" spans="1:9">
      <c r="A298" s="42"/>
      <c r="B298" s="43" t="str">
        <f t="shared" si="28"/>
        <v/>
      </c>
      <c r="C298" s="44" t="str">
        <f t="shared" si="29"/>
        <v>[]</v>
      </c>
      <c r="D298" s="45" t="str">
        <f t="shared" si="30"/>
        <v/>
      </c>
      <c r="E298" s="45" t="str">
        <f t="shared" si="31"/>
        <v/>
      </c>
      <c r="F298" s="46" t="str">
        <f t="shared" si="32"/>
        <v/>
      </c>
      <c r="G298" s="47" t="str">
        <f t="shared" si="33"/>
        <v/>
      </c>
      <c r="H298" s="48" t="str">
        <f ca="1" t="shared" si="34"/>
        <v/>
      </c>
      <c r="I298" s="26"/>
    </row>
    <row r="299" ht="36" customHeight="1" spans="1:9">
      <c r="A299" s="42"/>
      <c r="B299" s="43" t="str">
        <f t="shared" si="28"/>
        <v/>
      </c>
      <c r="C299" s="44" t="str">
        <f t="shared" si="29"/>
        <v>[]</v>
      </c>
      <c r="D299" s="45" t="str">
        <f t="shared" si="30"/>
        <v/>
      </c>
      <c r="E299" s="45" t="str">
        <f t="shared" si="31"/>
        <v/>
      </c>
      <c r="F299" s="46" t="str">
        <f t="shared" si="32"/>
        <v/>
      </c>
      <c r="G299" s="47" t="str">
        <f t="shared" si="33"/>
        <v/>
      </c>
      <c r="H299" s="48" t="str">
        <f ca="1" t="shared" si="34"/>
        <v/>
      </c>
      <c r="I299" s="26"/>
    </row>
    <row r="300" ht="36" customHeight="1" spans="1:9">
      <c r="A300" s="42"/>
      <c r="B300" s="43" t="str">
        <f t="shared" si="28"/>
        <v/>
      </c>
      <c r="C300" s="44" t="str">
        <f t="shared" si="29"/>
        <v>[]</v>
      </c>
      <c r="D300" s="45" t="str">
        <f t="shared" si="30"/>
        <v/>
      </c>
      <c r="E300" s="45" t="str">
        <f t="shared" si="31"/>
        <v/>
      </c>
      <c r="F300" s="46" t="str">
        <f t="shared" si="32"/>
        <v/>
      </c>
      <c r="G300" s="47" t="str">
        <f t="shared" si="33"/>
        <v/>
      </c>
      <c r="H300" s="48" t="str">
        <f ca="1" t="shared" si="34"/>
        <v/>
      </c>
      <c r="I300" s="26"/>
    </row>
    <row r="301" ht="36" customHeight="1" spans="1:9">
      <c r="A301" s="42"/>
      <c r="B301" s="43" t="str">
        <f t="shared" si="28"/>
        <v/>
      </c>
      <c r="C301" s="44" t="str">
        <f t="shared" si="29"/>
        <v>[]</v>
      </c>
      <c r="D301" s="45" t="str">
        <f t="shared" si="30"/>
        <v/>
      </c>
      <c r="E301" s="45" t="str">
        <f t="shared" si="31"/>
        <v/>
      </c>
      <c r="F301" s="46" t="str">
        <f t="shared" si="32"/>
        <v/>
      </c>
      <c r="G301" s="47" t="str">
        <f t="shared" si="33"/>
        <v/>
      </c>
      <c r="H301" s="48" t="str">
        <f ca="1" t="shared" si="34"/>
        <v/>
      </c>
      <c r="I301" s="26"/>
    </row>
    <row r="302" ht="36" customHeight="1" spans="1:9">
      <c r="A302" s="42"/>
      <c r="B302" s="43" t="str">
        <f t="shared" si="28"/>
        <v/>
      </c>
      <c r="C302" s="44" t="str">
        <f t="shared" si="29"/>
        <v>[]</v>
      </c>
      <c r="D302" s="45" t="str">
        <f t="shared" si="30"/>
        <v/>
      </c>
      <c r="E302" s="45" t="str">
        <f t="shared" si="31"/>
        <v/>
      </c>
      <c r="F302" s="46" t="str">
        <f t="shared" si="32"/>
        <v/>
      </c>
      <c r="G302" s="47" t="str">
        <f t="shared" si="33"/>
        <v/>
      </c>
      <c r="H302" s="48" t="str">
        <f ca="1" t="shared" si="34"/>
        <v/>
      </c>
      <c r="I302" s="26"/>
    </row>
    <row r="303" ht="36" customHeight="1" spans="1:9">
      <c r="A303" s="42"/>
      <c r="B303" s="43" t="str">
        <f t="shared" si="28"/>
        <v/>
      </c>
      <c r="C303" s="44" t="str">
        <f t="shared" si="29"/>
        <v>[]</v>
      </c>
      <c r="D303" s="45" t="str">
        <f t="shared" si="30"/>
        <v/>
      </c>
      <c r="E303" s="45" t="str">
        <f t="shared" si="31"/>
        <v/>
      </c>
      <c r="F303" s="46" t="str">
        <f t="shared" si="32"/>
        <v/>
      </c>
      <c r="G303" s="47" t="str">
        <f t="shared" si="33"/>
        <v/>
      </c>
      <c r="H303" s="48" t="str">
        <f ca="1" t="shared" si="34"/>
        <v/>
      </c>
      <c r="I303" s="26"/>
    </row>
    <row r="304" ht="36" customHeight="1" spans="1:9">
      <c r="A304" s="42"/>
      <c r="B304" s="43" t="str">
        <f t="shared" si="28"/>
        <v/>
      </c>
      <c r="C304" s="44" t="str">
        <f t="shared" si="29"/>
        <v>[]</v>
      </c>
      <c r="D304" s="45" t="str">
        <f t="shared" si="30"/>
        <v/>
      </c>
      <c r="E304" s="45" t="str">
        <f t="shared" si="31"/>
        <v/>
      </c>
      <c r="F304" s="46" t="str">
        <f t="shared" si="32"/>
        <v/>
      </c>
      <c r="G304" s="47" t="str">
        <f t="shared" si="33"/>
        <v/>
      </c>
      <c r="H304" s="48" t="str">
        <f ca="1" t="shared" si="34"/>
        <v/>
      </c>
      <c r="I304" s="26"/>
    </row>
    <row r="305" ht="36" customHeight="1" spans="1:9">
      <c r="A305" s="42"/>
      <c r="B305" s="43" t="str">
        <f t="shared" si="28"/>
        <v/>
      </c>
      <c r="C305" s="44" t="str">
        <f t="shared" si="29"/>
        <v>[]</v>
      </c>
      <c r="D305" s="45" t="str">
        <f t="shared" si="30"/>
        <v/>
      </c>
      <c r="E305" s="45" t="str">
        <f t="shared" si="31"/>
        <v/>
      </c>
      <c r="F305" s="46" t="str">
        <f t="shared" si="32"/>
        <v/>
      </c>
      <c r="G305" s="47" t="str">
        <f t="shared" si="33"/>
        <v/>
      </c>
      <c r="H305" s="48" t="str">
        <f ca="1" t="shared" si="34"/>
        <v/>
      </c>
      <c r="I305" s="26"/>
    </row>
    <row r="306" ht="36" customHeight="1" spans="1:9">
      <c r="A306" s="42"/>
      <c r="B306" s="43" t="str">
        <f t="shared" si="28"/>
        <v/>
      </c>
      <c r="C306" s="44" t="str">
        <f t="shared" si="29"/>
        <v>[]</v>
      </c>
      <c r="D306" s="45" t="str">
        <f t="shared" si="30"/>
        <v/>
      </c>
      <c r="E306" s="45" t="str">
        <f t="shared" si="31"/>
        <v/>
      </c>
      <c r="F306" s="46" t="str">
        <f t="shared" si="32"/>
        <v/>
      </c>
      <c r="G306" s="47" t="str">
        <f t="shared" si="33"/>
        <v/>
      </c>
      <c r="H306" s="48" t="str">
        <f ca="1" t="shared" si="34"/>
        <v/>
      </c>
      <c r="I306" s="26"/>
    </row>
    <row r="307" ht="36" customHeight="1" spans="1:9">
      <c r="A307" s="42"/>
      <c r="B307" s="43" t="str">
        <f t="shared" si="28"/>
        <v/>
      </c>
      <c r="C307" s="44" t="str">
        <f t="shared" si="29"/>
        <v>[]</v>
      </c>
      <c r="D307" s="45" t="str">
        <f t="shared" si="30"/>
        <v/>
      </c>
      <c r="E307" s="45" t="str">
        <f t="shared" si="31"/>
        <v/>
      </c>
      <c r="F307" s="46" t="str">
        <f t="shared" si="32"/>
        <v/>
      </c>
      <c r="G307" s="47" t="str">
        <f t="shared" si="33"/>
        <v/>
      </c>
      <c r="H307" s="48" t="str">
        <f ca="1" t="shared" si="34"/>
        <v/>
      </c>
      <c r="I307" s="26"/>
    </row>
    <row r="308" ht="36" customHeight="1" spans="1:9">
      <c r="A308" s="42"/>
      <c r="B308" s="43" t="str">
        <f t="shared" si="28"/>
        <v/>
      </c>
      <c r="C308" s="44" t="str">
        <f t="shared" si="29"/>
        <v>[]</v>
      </c>
      <c r="D308" s="45" t="str">
        <f t="shared" si="30"/>
        <v/>
      </c>
      <c r="E308" s="45" t="str">
        <f t="shared" si="31"/>
        <v/>
      </c>
      <c r="F308" s="46" t="str">
        <f t="shared" si="32"/>
        <v/>
      </c>
      <c r="G308" s="47" t="str">
        <f t="shared" si="33"/>
        <v/>
      </c>
      <c r="H308" s="48" t="str">
        <f ca="1" t="shared" si="34"/>
        <v/>
      </c>
      <c r="I308" s="26"/>
    </row>
    <row r="309" ht="36" customHeight="1" spans="1:9">
      <c r="A309" s="42"/>
      <c r="B309" s="43" t="str">
        <f t="shared" si="28"/>
        <v/>
      </c>
      <c r="C309" s="44" t="str">
        <f t="shared" si="29"/>
        <v>[]</v>
      </c>
      <c r="D309" s="45" t="str">
        <f t="shared" si="30"/>
        <v/>
      </c>
      <c r="E309" s="45" t="str">
        <f t="shared" si="31"/>
        <v/>
      </c>
      <c r="F309" s="46" t="str">
        <f t="shared" si="32"/>
        <v/>
      </c>
      <c r="G309" s="47" t="str">
        <f t="shared" si="33"/>
        <v/>
      </c>
      <c r="H309" s="48" t="str">
        <f ca="1" t="shared" si="34"/>
        <v/>
      </c>
      <c r="I309" s="26"/>
    </row>
    <row r="310" ht="36" customHeight="1" spans="1:9">
      <c r="A310" s="42"/>
      <c r="B310" s="43" t="str">
        <f t="shared" si="28"/>
        <v/>
      </c>
      <c r="C310" s="44" t="str">
        <f t="shared" si="29"/>
        <v>[]</v>
      </c>
      <c r="D310" s="45" t="str">
        <f t="shared" si="30"/>
        <v/>
      </c>
      <c r="E310" s="45" t="str">
        <f t="shared" si="31"/>
        <v/>
      </c>
      <c r="F310" s="46" t="str">
        <f t="shared" si="32"/>
        <v/>
      </c>
      <c r="G310" s="47" t="str">
        <f t="shared" si="33"/>
        <v/>
      </c>
      <c r="H310" s="48" t="str">
        <f ca="1" t="shared" si="34"/>
        <v/>
      </c>
      <c r="I310" s="26"/>
    </row>
    <row r="311" ht="36" customHeight="1" spans="1:9">
      <c r="A311" s="42"/>
      <c r="B311" s="43" t="str">
        <f t="shared" si="28"/>
        <v/>
      </c>
      <c r="C311" s="44" t="str">
        <f t="shared" si="29"/>
        <v>[]</v>
      </c>
      <c r="D311" s="45" t="str">
        <f t="shared" si="30"/>
        <v/>
      </c>
      <c r="E311" s="45" t="str">
        <f t="shared" si="31"/>
        <v/>
      </c>
      <c r="F311" s="46" t="str">
        <f t="shared" si="32"/>
        <v/>
      </c>
      <c r="G311" s="47" t="str">
        <f t="shared" si="33"/>
        <v/>
      </c>
      <c r="H311" s="48" t="str">
        <f ca="1" t="shared" si="34"/>
        <v/>
      </c>
      <c r="I311" s="26"/>
    </row>
    <row r="312" ht="36" customHeight="1" spans="1:9">
      <c r="A312" s="42"/>
      <c r="B312" s="43" t="str">
        <f t="shared" si="28"/>
        <v/>
      </c>
      <c r="C312" s="44" t="str">
        <f t="shared" si="29"/>
        <v>[]</v>
      </c>
      <c r="D312" s="45" t="str">
        <f t="shared" si="30"/>
        <v/>
      </c>
      <c r="E312" s="45" t="str">
        <f t="shared" si="31"/>
        <v/>
      </c>
      <c r="F312" s="46" t="str">
        <f t="shared" si="32"/>
        <v/>
      </c>
      <c r="G312" s="47" t="str">
        <f t="shared" si="33"/>
        <v/>
      </c>
      <c r="H312" s="48" t="str">
        <f ca="1" t="shared" si="34"/>
        <v/>
      </c>
      <c r="I312" s="26"/>
    </row>
    <row r="313" ht="36" customHeight="1" spans="1:9">
      <c r="A313" s="42"/>
      <c r="B313" s="43" t="str">
        <f t="shared" si="28"/>
        <v/>
      </c>
      <c r="C313" s="44" t="str">
        <f t="shared" si="29"/>
        <v>[]</v>
      </c>
      <c r="D313" s="45" t="str">
        <f t="shared" si="30"/>
        <v/>
      </c>
      <c r="E313" s="45" t="str">
        <f t="shared" si="31"/>
        <v/>
      </c>
      <c r="F313" s="46" t="str">
        <f t="shared" si="32"/>
        <v/>
      </c>
      <c r="G313" s="47" t="str">
        <f t="shared" si="33"/>
        <v/>
      </c>
      <c r="H313" s="48" t="str">
        <f ca="1" t="shared" si="34"/>
        <v/>
      </c>
      <c r="I313" s="26"/>
    </row>
    <row r="314" ht="36" customHeight="1" spans="1:9">
      <c r="A314" s="42"/>
      <c r="B314" s="43" t="str">
        <f t="shared" si="28"/>
        <v/>
      </c>
      <c r="C314" s="44" t="str">
        <f t="shared" si="29"/>
        <v>[]</v>
      </c>
      <c r="D314" s="45" t="str">
        <f t="shared" si="30"/>
        <v/>
      </c>
      <c r="E314" s="45" t="str">
        <f t="shared" si="31"/>
        <v/>
      </c>
      <c r="F314" s="46" t="str">
        <f t="shared" si="32"/>
        <v/>
      </c>
      <c r="G314" s="47" t="str">
        <f t="shared" si="33"/>
        <v/>
      </c>
      <c r="H314" s="48" t="str">
        <f ca="1" t="shared" si="34"/>
        <v/>
      </c>
      <c r="I314" s="26"/>
    </row>
    <row r="315" ht="36" customHeight="1" spans="1:9">
      <c r="A315" s="42"/>
      <c r="B315" s="43" t="str">
        <f t="shared" si="28"/>
        <v/>
      </c>
      <c r="C315" s="44" t="str">
        <f t="shared" si="29"/>
        <v>[]</v>
      </c>
      <c r="D315" s="45" t="str">
        <f t="shared" si="30"/>
        <v/>
      </c>
      <c r="E315" s="45" t="str">
        <f t="shared" si="31"/>
        <v/>
      </c>
      <c r="F315" s="46" t="str">
        <f t="shared" si="32"/>
        <v/>
      </c>
      <c r="G315" s="47" t="str">
        <f t="shared" si="33"/>
        <v/>
      </c>
      <c r="H315" s="48" t="str">
        <f ca="1" t="shared" si="34"/>
        <v/>
      </c>
      <c r="I315" s="26"/>
    </row>
    <row r="316" ht="36" customHeight="1" spans="1:9">
      <c r="A316" s="42"/>
      <c r="B316" s="43" t="str">
        <f t="shared" si="28"/>
        <v/>
      </c>
      <c r="C316" s="44" t="str">
        <f t="shared" si="29"/>
        <v>[]</v>
      </c>
      <c r="D316" s="45" t="str">
        <f t="shared" si="30"/>
        <v/>
      </c>
      <c r="E316" s="45" t="str">
        <f t="shared" si="31"/>
        <v/>
      </c>
      <c r="F316" s="46" t="str">
        <f t="shared" si="32"/>
        <v/>
      </c>
      <c r="G316" s="47" t="str">
        <f t="shared" si="33"/>
        <v/>
      </c>
      <c r="H316" s="48" t="str">
        <f ca="1" t="shared" si="34"/>
        <v/>
      </c>
      <c r="I316" s="26"/>
    </row>
    <row r="317" ht="36" customHeight="1" spans="1:9">
      <c r="A317" s="42"/>
      <c r="B317" s="43" t="str">
        <f t="shared" si="28"/>
        <v/>
      </c>
      <c r="C317" s="44" t="str">
        <f t="shared" si="29"/>
        <v>[]</v>
      </c>
      <c r="D317" s="45" t="str">
        <f t="shared" si="30"/>
        <v/>
      </c>
      <c r="E317" s="45" t="str">
        <f t="shared" si="31"/>
        <v/>
      </c>
      <c r="F317" s="46" t="str">
        <f t="shared" si="32"/>
        <v/>
      </c>
      <c r="G317" s="47" t="str">
        <f t="shared" si="33"/>
        <v/>
      </c>
      <c r="H317" s="48" t="str">
        <f ca="1" t="shared" si="34"/>
        <v/>
      </c>
      <c r="I317" s="26"/>
    </row>
    <row r="318" ht="36" customHeight="1" spans="1:9">
      <c r="A318" s="42"/>
      <c r="B318" s="43" t="str">
        <f t="shared" si="28"/>
        <v/>
      </c>
      <c r="C318" s="44" t="str">
        <f t="shared" si="29"/>
        <v>[]</v>
      </c>
      <c r="D318" s="45" t="str">
        <f t="shared" si="30"/>
        <v/>
      </c>
      <c r="E318" s="45" t="str">
        <f t="shared" si="31"/>
        <v/>
      </c>
      <c r="F318" s="46" t="str">
        <f t="shared" si="32"/>
        <v/>
      </c>
      <c r="G318" s="47" t="str">
        <f t="shared" si="33"/>
        <v/>
      </c>
      <c r="H318" s="48" t="str">
        <f ca="1" t="shared" si="34"/>
        <v/>
      </c>
      <c r="I318" s="26"/>
    </row>
    <row r="319" ht="36" customHeight="1" spans="1:9">
      <c r="A319" s="42"/>
      <c r="B319" s="43" t="str">
        <f t="shared" si="28"/>
        <v/>
      </c>
      <c r="C319" s="44" t="str">
        <f t="shared" si="29"/>
        <v>[]</v>
      </c>
      <c r="D319" s="45" t="str">
        <f t="shared" si="30"/>
        <v/>
      </c>
      <c r="E319" s="45" t="str">
        <f t="shared" si="31"/>
        <v/>
      </c>
      <c r="F319" s="46" t="str">
        <f t="shared" si="32"/>
        <v/>
      </c>
      <c r="G319" s="47" t="str">
        <f t="shared" si="33"/>
        <v/>
      </c>
      <c r="H319" s="48" t="str">
        <f ca="1" t="shared" si="34"/>
        <v/>
      </c>
      <c r="I319" s="26"/>
    </row>
    <row r="320" ht="36" customHeight="1" spans="1:9">
      <c r="A320" s="42"/>
      <c r="B320" s="43" t="str">
        <f t="shared" si="28"/>
        <v/>
      </c>
      <c r="C320" s="44" t="str">
        <f t="shared" si="29"/>
        <v>[]</v>
      </c>
      <c r="D320" s="45" t="str">
        <f t="shared" si="30"/>
        <v/>
      </c>
      <c r="E320" s="45" t="str">
        <f t="shared" si="31"/>
        <v/>
      </c>
      <c r="F320" s="46" t="str">
        <f t="shared" si="32"/>
        <v/>
      </c>
      <c r="G320" s="47" t="str">
        <f t="shared" si="33"/>
        <v/>
      </c>
      <c r="H320" s="48" t="str">
        <f ca="1" t="shared" si="34"/>
        <v/>
      </c>
      <c r="I320" s="26"/>
    </row>
    <row r="321" ht="36" customHeight="1" spans="1:9">
      <c r="A321" s="42"/>
      <c r="B321" s="43" t="str">
        <f t="shared" ref="B321:B384" si="35">IFERROR("@"&amp;MID(A321,SEARCH("{",A321)+1,SEARCH(",",A321)-SEARCH("{",A321)-1),"")</f>
        <v/>
      </c>
      <c r="C321" s="44" t="str">
        <f t="shared" ref="C321:C384" si="36">"["&amp;B321&amp;"]"</f>
        <v>[]</v>
      </c>
      <c r="D321" s="45" t="str">
        <f t="shared" ref="D321:D384" si="37">IFERROR(MID(A321,SEARCH("year = {",A321)+8,4),"")</f>
        <v/>
      </c>
      <c r="E321" s="45" t="str">
        <f t="shared" ref="E321:E384" si="38">IFERROR(MID(A321,SEARCH("author = {",A321)+10,SEARCH("}",A321,SEARCH("author = {",A321))-SEARCH("author = {",A321)-10),"")</f>
        <v/>
      </c>
      <c r="F321" s="46" t="str">
        <f t="shared" ref="F321:F384" si="39">IFERROR(IF(ISERROR(FIND("title =",A321)),"",MID(A321,FIND("title =",A321)+9,FIND("},",A321,FIND("title =",A321))-FIND("title =",A321)-9)),"")</f>
        <v/>
      </c>
      <c r="G321" s="47" t="str">
        <f t="shared" ref="G321:G384" si="40">IFERROR("https://doi.org/"&amp;MID(A321,SEARCH("doi = {",A321)+7,FIND("}",A321,SEARCH("doi = {",A321))-SEARCH("doi = {",A321)-7),"")</f>
        <v/>
      </c>
      <c r="H321" s="48" t="str">
        <f ca="1" t="shared" ref="H321:H384" si="41">IF(A321&lt;&gt;"",IF(H321&lt;&gt;"",H321,NOW()),"")</f>
        <v/>
      </c>
      <c r="I321" s="26"/>
    </row>
    <row r="322" ht="36" customHeight="1" spans="1:9">
      <c r="A322" s="42"/>
      <c r="B322" s="43" t="str">
        <f t="shared" si="35"/>
        <v/>
      </c>
      <c r="C322" s="44" t="str">
        <f t="shared" si="36"/>
        <v>[]</v>
      </c>
      <c r="D322" s="45" t="str">
        <f t="shared" si="37"/>
        <v/>
      </c>
      <c r="E322" s="45" t="str">
        <f t="shared" si="38"/>
        <v/>
      </c>
      <c r="F322" s="46" t="str">
        <f t="shared" si="39"/>
        <v/>
      </c>
      <c r="G322" s="47" t="str">
        <f t="shared" si="40"/>
        <v/>
      </c>
      <c r="H322" s="48" t="str">
        <f ca="1" t="shared" si="41"/>
        <v/>
      </c>
      <c r="I322" s="26"/>
    </row>
    <row r="323" ht="36" customHeight="1" spans="1:9">
      <c r="A323" s="42"/>
      <c r="B323" s="43" t="str">
        <f t="shared" si="35"/>
        <v/>
      </c>
      <c r="C323" s="44" t="str">
        <f t="shared" si="36"/>
        <v>[]</v>
      </c>
      <c r="D323" s="45" t="str">
        <f t="shared" si="37"/>
        <v/>
      </c>
      <c r="E323" s="45" t="str">
        <f t="shared" si="38"/>
        <v/>
      </c>
      <c r="F323" s="46" t="str">
        <f t="shared" si="39"/>
        <v/>
      </c>
      <c r="G323" s="47" t="str">
        <f t="shared" si="40"/>
        <v/>
      </c>
      <c r="H323" s="48" t="str">
        <f ca="1" t="shared" si="41"/>
        <v/>
      </c>
      <c r="I323" s="26"/>
    </row>
    <row r="324" ht="36" customHeight="1" spans="1:9">
      <c r="A324" s="42"/>
      <c r="B324" s="43" t="str">
        <f t="shared" si="35"/>
        <v/>
      </c>
      <c r="C324" s="44" t="str">
        <f t="shared" si="36"/>
        <v>[]</v>
      </c>
      <c r="D324" s="45" t="str">
        <f t="shared" si="37"/>
        <v/>
      </c>
      <c r="E324" s="45" t="str">
        <f t="shared" si="38"/>
        <v/>
      </c>
      <c r="F324" s="46" t="str">
        <f t="shared" si="39"/>
        <v/>
      </c>
      <c r="G324" s="47" t="str">
        <f t="shared" si="40"/>
        <v/>
      </c>
      <c r="H324" s="48" t="str">
        <f ca="1" t="shared" si="41"/>
        <v/>
      </c>
      <c r="I324" s="26"/>
    </row>
    <row r="325" ht="36" customHeight="1" spans="1:9">
      <c r="A325" s="42"/>
      <c r="B325" s="43" t="str">
        <f t="shared" si="35"/>
        <v/>
      </c>
      <c r="C325" s="44" t="str">
        <f t="shared" si="36"/>
        <v>[]</v>
      </c>
      <c r="D325" s="45" t="str">
        <f t="shared" si="37"/>
        <v/>
      </c>
      <c r="E325" s="45" t="str">
        <f t="shared" si="38"/>
        <v/>
      </c>
      <c r="F325" s="46" t="str">
        <f t="shared" si="39"/>
        <v/>
      </c>
      <c r="G325" s="47" t="str">
        <f t="shared" si="40"/>
        <v/>
      </c>
      <c r="H325" s="48" t="str">
        <f ca="1" t="shared" si="41"/>
        <v/>
      </c>
      <c r="I325" s="26"/>
    </row>
    <row r="326" ht="36" customHeight="1" spans="1:9">
      <c r="A326" s="42"/>
      <c r="B326" s="43" t="str">
        <f t="shared" si="35"/>
        <v/>
      </c>
      <c r="C326" s="44" t="str">
        <f t="shared" si="36"/>
        <v>[]</v>
      </c>
      <c r="D326" s="45" t="str">
        <f t="shared" si="37"/>
        <v/>
      </c>
      <c r="E326" s="45" t="str">
        <f t="shared" si="38"/>
        <v/>
      </c>
      <c r="F326" s="46" t="str">
        <f t="shared" si="39"/>
        <v/>
      </c>
      <c r="G326" s="47" t="str">
        <f t="shared" si="40"/>
        <v/>
      </c>
      <c r="H326" s="48" t="str">
        <f ca="1" t="shared" si="41"/>
        <v/>
      </c>
      <c r="I326" s="26"/>
    </row>
    <row r="327" ht="36" customHeight="1" spans="1:9">
      <c r="A327" s="42"/>
      <c r="B327" s="43" t="str">
        <f t="shared" si="35"/>
        <v/>
      </c>
      <c r="C327" s="44" t="str">
        <f t="shared" si="36"/>
        <v>[]</v>
      </c>
      <c r="D327" s="45" t="str">
        <f t="shared" si="37"/>
        <v/>
      </c>
      <c r="E327" s="45" t="str">
        <f t="shared" si="38"/>
        <v/>
      </c>
      <c r="F327" s="46" t="str">
        <f t="shared" si="39"/>
        <v/>
      </c>
      <c r="G327" s="47" t="str">
        <f t="shared" si="40"/>
        <v/>
      </c>
      <c r="H327" s="48" t="str">
        <f ca="1" t="shared" si="41"/>
        <v/>
      </c>
      <c r="I327" s="26"/>
    </row>
    <row r="328" ht="36" customHeight="1" spans="1:9">
      <c r="A328" s="42"/>
      <c r="B328" s="43" t="str">
        <f t="shared" si="35"/>
        <v/>
      </c>
      <c r="C328" s="44" t="str">
        <f t="shared" si="36"/>
        <v>[]</v>
      </c>
      <c r="D328" s="45" t="str">
        <f t="shared" si="37"/>
        <v/>
      </c>
      <c r="E328" s="45" t="str">
        <f t="shared" si="38"/>
        <v/>
      </c>
      <c r="F328" s="46" t="str">
        <f t="shared" si="39"/>
        <v/>
      </c>
      <c r="G328" s="47" t="str">
        <f t="shared" si="40"/>
        <v/>
      </c>
      <c r="H328" s="48" t="str">
        <f ca="1" t="shared" si="41"/>
        <v/>
      </c>
      <c r="I328" s="26"/>
    </row>
    <row r="329" ht="36" customHeight="1" spans="1:9">
      <c r="A329" s="42"/>
      <c r="B329" s="43" t="str">
        <f t="shared" si="35"/>
        <v/>
      </c>
      <c r="C329" s="44" t="str">
        <f t="shared" si="36"/>
        <v>[]</v>
      </c>
      <c r="D329" s="45" t="str">
        <f t="shared" si="37"/>
        <v/>
      </c>
      <c r="E329" s="45" t="str">
        <f t="shared" si="38"/>
        <v/>
      </c>
      <c r="F329" s="46" t="str">
        <f t="shared" si="39"/>
        <v/>
      </c>
      <c r="G329" s="47" t="str">
        <f t="shared" si="40"/>
        <v/>
      </c>
      <c r="H329" s="48" t="str">
        <f ca="1" t="shared" si="41"/>
        <v/>
      </c>
      <c r="I329" s="26"/>
    </row>
    <row r="330" ht="36" customHeight="1" spans="1:9">
      <c r="A330" s="42"/>
      <c r="B330" s="43" t="str">
        <f t="shared" si="35"/>
        <v/>
      </c>
      <c r="C330" s="44" t="str">
        <f t="shared" si="36"/>
        <v>[]</v>
      </c>
      <c r="D330" s="45" t="str">
        <f t="shared" si="37"/>
        <v/>
      </c>
      <c r="E330" s="45" t="str">
        <f t="shared" si="38"/>
        <v/>
      </c>
      <c r="F330" s="46" t="str">
        <f t="shared" si="39"/>
        <v/>
      </c>
      <c r="G330" s="47" t="str">
        <f t="shared" si="40"/>
        <v/>
      </c>
      <c r="H330" s="48" t="str">
        <f ca="1" t="shared" si="41"/>
        <v/>
      </c>
      <c r="I330" s="26"/>
    </row>
    <row r="331" ht="36" customHeight="1" spans="1:9">
      <c r="A331" s="42"/>
      <c r="B331" s="43" t="str">
        <f t="shared" si="35"/>
        <v/>
      </c>
      <c r="C331" s="44" t="str">
        <f t="shared" si="36"/>
        <v>[]</v>
      </c>
      <c r="D331" s="45" t="str">
        <f t="shared" si="37"/>
        <v/>
      </c>
      <c r="E331" s="45" t="str">
        <f t="shared" si="38"/>
        <v/>
      </c>
      <c r="F331" s="46" t="str">
        <f t="shared" si="39"/>
        <v/>
      </c>
      <c r="G331" s="47" t="str">
        <f t="shared" si="40"/>
        <v/>
      </c>
      <c r="H331" s="48" t="str">
        <f ca="1" t="shared" si="41"/>
        <v/>
      </c>
      <c r="I331" s="26"/>
    </row>
    <row r="332" ht="36" customHeight="1" spans="1:9">
      <c r="A332" s="42"/>
      <c r="B332" s="43" t="str">
        <f t="shared" si="35"/>
        <v/>
      </c>
      <c r="C332" s="44" t="str">
        <f t="shared" si="36"/>
        <v>[]</v>
      </c>
      <c r="D332" s="45" t="str">
        <f t="shared" si="37"/>
        <v/>
      </c>
      <c r="E332" s="45" t="str">
        <f t="shared" si="38"/>
        <v/>
      </c>
      <c r="F332" s="46" t="str">
        <f t="shared" si="39"/>
        <v/>
      </c>
      <c r="G332" s="47" t="str">
        <f t="shared" si="40"/>
        <v/>
      </c>
      <c r="H332" s="48" t="str">
        <f ca="1" t="shared" si="41"/>
        <v/>
      </c>
      <c r="I332" s="26"/>
    </row>
    <row r="333" ht="36" customHeight="1" spans="1:9">
      <c r="A333" s="42"/>
      <c r="B333" s="43" t="str">
        <f t="shared" si="35"/>
        <v/>
      </c>
      <c r="C333" s="44" t="str">
        <f t="shared" si="36"/>
        <v>[]</v>
      </c>
      <c r="D333" s="45" t="str">
        <f t="shared" si="37"/>
        <v/>
      </c>
      <c r="E333" s="45" t="str">
        <f t="shared" si="38"/>
        <v/>
      </c>
      <c r="F333" s="46" t="str">
        <f t="shared" si="39"/>
        <v/>
      </c>
      <c r="G333" s="47" t="str">
        <f t="shared" si="40"/>
        <v/>
      </c>
      <c r="H333" s="48" t="str">
        <f ca="1" t="shared" si="41"/>
        <v/>
      </c>
      <c r="I333" s="26"/>
    </row>
    <row r="334" ht="36" customHeight="1" spans="1:9">
      <c r="A334" s="42"/>
      <c r="B334" s="43" t="str">
        <f t="shared" si="35"/>
        <v/>
      </c>
      <c r="C334" s="44" t="str">
        <f t="shared" si="36"/>
        <v>[]</v>
      </c>
      <c r="D334" s="45" t="str">
        <f t="shared" si="37"/>
        <v/>
      </c>
      <c r="E334" s="45" t="str">
        <f t="shared" si="38"/>
        <v/>
      </c>
      <c r="F334" s="46" t="str">
        <f t="shared" si="39"/>
        <v/>
      </c>
      <c r="G334" s="47" t="str">
        <f t="shared" si="40"/>
        <v/>
      </c>
      <c r="H334" s="48" t="str">
        <f ca="1" t="shared" si="41"/>
        <v/>
      </c>
      <c r="I334" s="26"/>
    </row>
    <row r="335" ht="36" customHeight="1" spans="1:9">
      <c r="A335" s="42"/>
      <c r="B335" s="43" t="str">
        <f t="shared" si="35"/>
        <v/>
      </c>
      <c r="C335" s="44" t="str">
        <f t="shared" si="36"/>
        <v>[]</v>
      </c>
      <c r="D335" s="45" t="str">
        <f t="shared" si="37"/>
        <v/>
      </c>
      <c r="E335" s="45" t="str">
        <f t="shared" si="38"/>
        <v/>
      </c>
      <c r="F335" s="46" t="str">
        <f t="shared" si="39"/>
        <v/>
      </c>
      <c r="G335" s="47" t="str">
        <f t="shared" si="40"/>
        <v/>
      </c>
      <c r="H335" s="48" t="str">
        <f ca="1" t="shared" si="41"/>
        <v/>
      </c>
      <c r="I335" s="26"/>
    </row>
    <row r="336" ht="36" customHeight="1" spans="1:9">
      <c r="A336" s="42"/>
      <c r="B336" s="43" t="str">
        <f t="shared" si="35"/>
        <v/>
      </c>
      <c r="C336" s="44" t="str">
        <f t="shared" si="36"/>
        <v>[]</v>
      </c>
      <c r="D336" s="45" t="str">
        <f t="shared" si="37"/>
        <v/>
      </c>
      <c r="E336" s="45" t="str">
        <f t="shared" si="38"/>
        <v/>
      </c>
      <c r="F336" s="46" t="str">
        <f t="shared" si="39"/>
        <v/>
      </c>
      <c r="G336" s="47" t="str">
        <f t="shared" si="40"/>
        <v/>
      </c>
      <c r="H336" s="48" t="str">
        <f ca="1" t="shared" si="41"/>
        <v/>
      </c>
      <c r="I336" s="26"/>
    </row>
    <row r="337" ht="36" customHeight="1" spans="1:9">
      <c r="A337" s="42"/>
      <c r="B337" s="43" t="str">
        <f t="shared" si="35"/>
        <v/>
      </c>
      <c r="C337" s="44" t="str">
        <f t="shared" si="36"/>
        <v>[]</v>
      </c>
      <c r="D337" s="45" t="str">
        <f t="shared" si="37"/>
        <v/>
      </c>
      <c r="E337" s="45" t="str">
        <f t="shared" si="38"/>
        <v/>
      </c>
      <c r="F337" s="46" t="str">
        <f t="shared" si="39"/>
        <v/>
      </c>
      <c r="G337" s="47" t="str">
        <f t="shared" si="40"/>
        <v/>
      </c>
      <c r="H337" s="48" t="str">
        <f ca="1" t="shared" si="41"/>
        <v/>
      </c>
      <c r="I337" s="26"/>
    </row>
    <row r="338" ht="36" customHeight="1" spans="1:9">
      <c r="A338" s="42"/>
      <c r="B338" s="43" t="str">
        <f t="shared" si="35"/>
        <v/>
      </c>
      <c r="C338" s="44" t="str">
        <f t="shared" si="36"/>
        <v>[]</v>
      </c>
      <c r="D338" s="45" t="str">
        <f t="shared" si="37"/>
        <v/>
      </c>
      <c r="E338" s="45" t="str">
        <f t="shared" si="38"/>
        <v/>
      </c>
      <c r="F338" s="46" t="str">
        <f t="shared" si="39"/>
        <v/>
      </c>
      <c r="G338" s="47" t="str">
        <f t="shared" si="40"/>
        <v/>
      </c>
      <c r="H338" s="48" t="str">
        <f ca="1" t="shared" si="41"/>
        <v/>
      </c>
      <c r="I338" s="26"/>
    </row>
    <row r="339" ht="36" customHeight="1" spans="1:9">
      <c r="A339" s="42"/>
      <c r="B339" s="43" t="str">
        <f t="shared" si="35"/>
        <v/>
      </c>
      <c r="C339" s="44" t="str">
        <f t="shared" si="36"/>
        <v>[]</v>
      </c>
      <c r="D339" s="45" t="str">
        <f t="shared" si="37"/>
        <v/>
      </c>
      <c r="E339" s="45" t="str">
        <f t="shared" si="38"/>
        <v/>
      </c>
      <c r="F339" s="46" t="str">
        <f t="shared" si="39"/>
        <v/>
      </c>
      <c r="G339" s="47" t="str">
        <f t="shared" si="40"/>
        <v/>
      </c>
      <c r="H339" s="48" t="str">
        <f ca="1" t="shared" si="41"/>
        <v/>
      </c>
      <c r="I339" s="26"/>
    </row>
    <row r="340" ht="36" customHeight="1" spans="1:9">
      <c r="A340" s="42"/>
      <c r="B340" s="43" t="str">
        <f t="shared" si="35"/>
        <v/>
      </c>
      <c r="C340" s="44" t="str">
        <f t="shared" si="36"/>
        <v>[]</v>
      </c>
      <c r="D340" s="45" t="str">
        <f t="shared" si="37"/>
        <v/>
      </c>
      <c r="E340" s="45" t="str">
        <f t="shared" si="38"/>
        <v/>
      </c>
      <c r="F340" s="46" t="str">
        <f t="shared" si="39"/>
        <v/>
      </c>
      <c r="G340" s="47" t="str">
        <f t="shared" si="40"/>
        <v/>
      </c>
      <c r="H340" s="48" t="str">
        <f ca="1" t="shared" si="41"/>
        <v/>
      </c>
      <c r="I340" s="26"/>
    </row>
    <row r="341" ht="36" customHeight="1" spans="1:9">
      <c r="A341" s="42"/>
      <c r="B341" s="43" t="str">
        <f t="shared" si="35"/>
        <v/>
      </c>
      <c r="C341" s="44" t="str">
        <f t="shared" si="36"/>
        <v>[]</v>
      </c>
      <c r="D341" s="45" t="str">
        <f t="shared" si="37"/>
        <v/>
      </c>
      <c r="E341" s="45" t="str">
        <f t="shared" si="38"/>
        <v/>
      </c>
      <c r="F341" s="46" t="str">
        <f t="shared" si="39"/>
        <v/>
      </c>
      <c r="G341" s="47" t="str">
        <f t="shared" si="40"/>
        <v/>
      </c>
      <c r="H341" s="48" t="str">
        <f ca="1" t="shared" si="41"/>
        <v/>
      </c>
      <c r="I341" s="26"/>
    </row>
    <row r="342" ht="36" customHeight="1" spans="1:9">
      <c r="A342" s="42"/>
      <c r="B342" s="43" t="str">
        <f t="shared" si="35"/>
        <v/>
      </c>
      <c r="C342" s="44" t="str">
        <f t="shared" si="36"/>
        <v>[]</v>
      </c>
      <c r="D342" s="45" t="str">
        <f t="shared" si="37"/>
        <v/>
      </c>
      <c r="E342" s="45" t="str">
        <f t="shared" si="38"/>
        <v/>
      </c>
      <c r="F342" s="46" t="str">
        <f t="shared" si="39"/>
        <v/>
      </c>
      <c r="G342" s="47" t="str">
        <f t="shared" si="40"/>
        <v/>
      </c>
      <c r="H342" s="48" t="str">
        <f ca="1" t="shared" si="41"/>
        <v/>
      </c>
      <c r="I342" s="26"/>
    </row>
    <row r="343" ht="36" customHeight="1" spans="1:9">
      <c r="A343" s="42"/>
      <c r="B343" s="43" t="str">
        <f t="shared" si="35"/>
        <v/>
      </c>
      <c r="C343" s="44" t="str">
        <f t="shared" si="36"/>
        <v>[]</v>
      </c>
      <c r="D343" s="45" t="str">
        <f t="shared" si="37"/>
        <v/>
      </c>
      <c r="E343" s="45" t="str">
        <f t="shared" si="38"/>
        <v/>
      </c>
      <c r="F343" s="46" t="str">
        <f t="shared" si="39"/>
        <v/>
      </c>
      <c r="G343" s="47" t="str">
        <f t="shared" si="40"/>
        <v/>
      </c>
      <c r="H343" s="48" t="str">
        <f ca="1" t="shared" si="41"/>
        <v/>
      </c>
      <c r="I343" s="26"/>
    </row>
    <row r="344" ht="36" customHeight="1" spans="1:9">
      <c r="A344" s="42"/>
      <c r="B344" s="43" t="str">
        <f t="shared" si="35"/>
        <v/>
      </c>
      <c r="C344" s="44" t="str">
        <f t="shared" si="36"/>
        <v>[]</v>
      </c>
      <c r="D344" s="45" t="str">
        <f t="shared" si="37"/>
        <v/>
      </c>
      <c r="E344" s="45" t="str">
        <f t="shared" si="38"/>
        <v/>
      </c>
      <c r="F344" s="46" t="str">
        <f t="shared" si="39"/>
        <v/>
      </c>
      <c r="G344" s="47" t="str">
        <f t="shared" si="40"/>
        <v/>
      </c>
      <c r="H344" s="48" t="str">
        <f ca="1" t="shared" si="41"/>
        <v/>
      </c>
      <c r="I344" s="26"/>
    </row>
    <row r="345" ht="36" customHeight="1" spans="1:9">
      <c r="A345" s="42"/>
      <c r="B345" s="43" t="str">
        <f t="shared" si="35"/>
        <v/>
      </c>
      <c r="C345" s="44" t="str">
        <f t="shared" si="36"/>
        <v>[]</v>
      </c>
      <c r="D345" s="45" t="str">
        <f t="shared" si="37"/>
        <v/>
      </c>
      <c r="E345" s="45" t="str">
        <f t="shared" si="38"/>
        <v/>
      </c>
      <c r="F345" s="46" t="str">
        <f t="shared" si="39"/>
        <v/>
      </c>
      <c r="G345" s="47" t="str">
        <f t="shared" si="40"/>
        <v/>
      </c>
      <c r="H345" s="48" t="str">
        <f ca="1" t="shared" si="41"/>
        <v/>
      </c>
      <c r="I345" s="26"/>
    </row>
    <row r="346" ht="36" customHeight="1" spans="1:9">
      <c r="A346" s="42"/>
      <c r="B346" s="43" t="str">
        <f t="shared" si="35"/>
        <v/>
      </c>
      <c r="C346" s="44" t="str">
        <f t="shared" si="36"/>
        <v>[]</v>
      </c>
      <c r="D346" s="45" t="str">
        <f t="shared" si="37"/>
        <v/>
      </c>
      <c r="E346" s="45" t="str">
        <f t="shared" si="38"/>
        <v/>
      </c>
      <c r="F346" s="46" t="str">
        <f t="shared" si="39"/>
        <v/>
      </c>
      <c r="G346" s="47" t="str">
        <f t="shared" si="40"/>
        <v/>
      </c>
      <c r="H346" s="48" t="str">
        <f ca="1" t="shared" si="41"/>
        <v/>
      </c>
      <c r="I346" s="26"/>
    </row>
    <row r="347" ht="36" customHeight="1" spans="1:9">
      <c r="A347" s="42"/>
      <c r="B347" s="43" t="str">
        <f t="shared" si="35"/>
        <v/>
      </c>
      <c r="C347" s="44" t="str">
        <f t="shared" si="36"/>
        <v>[]</v>
      </c>
      <c r="D347" s="45" t="str">
        <f t="shared" si="37"/>
        <v/>
      </c>
      <c r="E347" s="45" t="str">
        <f t="shared" si="38"/>
        <v/>
      </c>
      <c r="F347" s="46" t="str">
        <f t="shared" si="39"/>
        <v/>
      </c>
      <c r="G347" s="47" t="str">
        <f t="shared" si="40"/>
        <v/>
      </c>
      <c r="H347" s="48" t="str">
        <f ca="1" t="shared" si="41"/>
        <v/>
      </c>
      <c r="I347" s="26"/>
    </row>
    <row r="348" ht="36" customHeight="1" spans="1:9">
      <c r="A348" s="42"/>
      <c r="B348" s="43" t="str">
        <f t="shared" si="35"/>
        <v/>
      </c>
      <c r="C348" s="44" t="str">
        <f t="shared" si="36"/>
        <v>[]</v>
      </c>
      <c r="D348" s="45" t="str">
        <f t="shared" si="37"/>
        <v/>
      </c>
      <c r="E348" s="45" t="str">
        <f t="shared" si="38"/>
        <v/>
      </c>
      <c r="F348" s="46" t="str">
        <f t="shared" si="39"/>
        <v/>
      </c>
      <c r="G348" s="47" t="str">
        <f t="shared" si="40"/>
        <v/>
      </c>
      <c r="H348" s="48" t="str">
        <f ca="1" t="shared" si="41"/>
        <v/>
      </c>
      <c r="I348" s="26"/>
    </row>
    <row r="349" ht="36" customHeight="1" spans="1:9">
      <c r="A349" s="42"/>
      <c r="B349" s="43" t="str">
        <f t="shared" si="35"/>
        <v/>
      </c>
      <c r="C349" s="44" t="str">
        <f t="shared" si="36"/>
        <v>[]</v>
      </c>
      <c r="D349" s="45" t="str">
        <f t="shared" si="37"/>
        <v/>
      </c>
      <c r="E349" s="45" t="str">
        <f t="shared" si="38"/>
        <v/>
      </c>
      <c r="F349" s="46" t="str">
        <f t="shared" si="39"/>
        <v/>
      </c>
      <c r="G349" s="47" t="str">
        <f t="shared" si="40"/>
        <v/>
      </c>
      <c r="H349" s="48" t="str">
        <f ca="1" t="shared" si="41"/>
        <v/>
      </c>
      <c r="I349" s="26"/>
    </row>
    <row r="350" ht="36" customHeight="1" spans="1:9">
      <c r="A350" s="42"/>
      <c r="B350" s="43" t="str">
        <f t="shared" si="35"/>
        <v/>
      </c>
      <c r="C350" s="44" t="str">
        <f t="shared" si="36"/>
        <v>[]</v>
      </c>
      <c r="D350" s="45" t="str">
        <f t="shared" si="37"/>
        <v/>
      </c>
      <c r="E350" s="45" t="str">
        <f t="shared" si="38"/>
        <v/>
      </c>
      <c r="F350" s="46" t="str">
        <f t="shared" si="39"/>
        <v/>
      </c>
      <c r="G350" s="47" t="str">
        <f t="shared" si="40"/>
        <v/>
      </c>
      <c r="H350" s="48" t="str">
        <f ca="1" t="shared" si="41"/>
        <v/>
      </c>
      <c r="I350" s="26"/>
    </row>
    <row r="351" ht="36" customHeight="1" spans="1:9">
      <c r="A351" s="42"/>
      <c r="B351" s="43" t="str">
        <f t="shared" si="35"/>
        <v/>
      </c>
      <c r="C351" s="44" t="str">
        <f t="shared" si="36"/>
        <v>[]</v>
      </c>
      <c r="D351" s="45" t="str">
        <f t="shared" si="37"/>
        <v/>
      </c>
      <c r="E351" s="45" t="str">
        <f t="shared" si="38"/>
        <v/>
      </c>
      <c r="F351" s="46" t="str">
        <f t="shared" si="39"/>
        <v/>
      </c>
      <c r="G351" s="47" t="str">
        <f t="shared" si="40"/>
        <v/>
      </c>
      <c r="H351" s="48" t="str">
        <f ca="1" t="shared" si="41"/>
        <v/>
      </c>
      <c r="I351" s="26"/>
    </row>
    <row r="352" ht="36" customHeight="1" spans="1:9">
      <c r="A352" s="42"/>
      <c r="B352" s="43" t="str">
        <f t="shared" si="35"/>
        <v/>
      </c>
      <c r="C352" s="44" t="str">
        <f t="shared" si="36"/>
        <v>[]</v>
      </c>
      <c r="D352" s="45" t="str">
        <f t="shared" si="37"/>
        <v/>
      </c>
      <c r="E352" s="45" t="str">
        <f t="shared" si="38"/>
        <v/>
      </c>
      <c r="F352" s="46" t="str">
        <f t="shared" si="39"/>
        <v/>
      </c>
      <c r="G352" s="47" t="str">
        <f t="shared" si="40"/>
        <v/>
      </c>
      <c r="H352" s="48" t="str">
        <f ca="1" t="shared" si="41"/>
        <v/>
      </c>
      <c r="I352" s="26"/>
    </row>
    <row r="353" ht="36" customHeight="1" spans="1:9">
      <c r="A353" s="42"/>
      <c r="B353" s="43" t="str">
        <f t="shared" si="35"/>
        <v/>
      </c>
      <c r="C353" s="44" t="str">
        <f t="shared" si="36"/>
        <v>[]</v>
      </c>
      <c r="D353" s="45" t="str">
        <f t="shared" si="37"/>
        <v/>
      </c>
      <c r="E353" s="45" t="str">
        <f t="shared" si="38"/>
        <v/>
      </c>
      <c r="F353" s="46" t="str">
        <f t="shared" si="39"/>
        <v/>
      </c>
      <c r="G353" s="47" t="str">
        <f t="shared" si="40"/>
        <v/>
      </c>
      <c r="H353" s="48" t="str">
        <f ca="1" t="shared" si="41"/>
        <v/>
      </c>
      <c r="I353" s="26"/>
    </row>
    <row r="354" ht="36" customHeight="1" spans="1:9">
      <c r="A354" s="42"/>
      <c r="B354" s="43" t="str">
        <f t="shared" si="35"/>
        <v/>
      </c>
      <c r="C354" s="44" t="str">
        <f t="shared" si="36"/>
        <v>[]</v>
      </c>
      <c r="D354" s="45" t="str">
        <f t="shared" si="37"/>
        <v/>
      </c>
      <c r="E354" s="45" t="str">
        <f t="shared" si="38"/>
        <v/>
      </c>
      <c r="F354" s="46" t="str">
        <f t="shared" si="39"/>
        <v/>
      </c>
      <c r="G354" s="47" t="str">
        <f t="shared" si="40"/>
        <v/>
      </c>
      <c r="H354" s="48" t="str">
        <f ca="1" t="shared" si="41"/>
        <v/>
      </c>
      <c r="I354" s="26"/>
    </row>
    <row r="355" ht="36" customHeight="1" spans="1:9">
      <c r="A355" s="42"/>
      <c r="B355" s="43" t="str">
        <f t="shared" si="35"/>
        <v/>
      </c>
      <c r="C355" s="44" t="str">
        <f t="shared" si="36"/>
        <v>[]</v>
      </c>
      <c r="D355" s="45" t="str">
        <f t="shared" si="37"/>
        <v/>
      </c>
      <c r="E355" s="45" t="str">
        <f t="shared" si="38"/>
        <v/>
      </c>
      <c r="F355" s="46" t="str">
        <f t="shared" si="39"/>
        <v/>
      </c>
      <c r="G355" s="47" t="str">
        <f t="shared" si="40"/>
        <v/>
      </c>
      <c r="H355" s="48" t="str">
        <f ca="1" t="shared" si="41"/>
        <v/>
      </c>
      <c r="I355" s="26"/>
    </row>
    <row r="356" ht="36" customHeight="1" spans="1:9">
      <c r="A356" s="42"/>
      <c r="B356" s="43" t="str">
        <f t="shared" si="35"/>
        <v/>
      </c>
      <c r="C356" s="44" t="str">
        <f t="shared" si="36"/>
        <v>[]</v>
      </c>
      <c r="D356" s="45" t="str">
        <f t="shared" si="37"/>
        <v/>
      </c>
      <c r="E356" s="45" t="str">
        <f t="shared" si="38"/>
        <v/>
      </c>
      <c r="F356" s="46" t="str">
        <f t="shared" si="39"/>
        <v/>
      </c>
      <c r="G356" s="47" t="str">
        <f t="shared" si="40"/>
        <v/>
      </c>
      <c r="H356" s="48" t="str">
        <f ca="1" t="shared" si="41"/>
        <v/>
      </c>
      <c r="I356" s="26"/>
    </row>
    <row r="357" ht="36" customHeight="1" spans="1:9">
      <c r="A357" s="42"/>
      <c r="B357" s="43" t="str">
        <f t="shared" si="35"/>
        <v/>
      </c>
      <c r="C357" s="44" t="str">
        <f t="shared" si="36"/>
        <v>[]</v>
      </c>
      <c r="D357" s="45" t="str">
        <f t="shared" si="37"/>
        <v/>
      </c>
      <c r="E357" s="45" t="str">
        <f t="shared" si="38"/>
        <v/>
      </c>
      <c r="F357" s="46" t="str">
        <f t="shared" si="39"/>
        <v/>
      </c>
      <c r="G357" s="47" t="str">
        <f t="shared" si="40"/>
        <v/>
      </c>
      <c r="H357" s="48" t="str">
        <f ca="1" t="shared" si="41"/>
        <v/>
      </c>
      <c r="I357" s="26"/>
    </row>
    <row r="358" ht="36" customHeight="1" spans="1:9">
      <c r="A358" s="42"/>
      <c r="B358" s="43" t="str">
        <f t="shared" si="35"/>
        <v/>
      </c>
      <c r="C358" s="44" t="str">
        <f t="shared" si="36"/>
        <v>[]</v>
      </c>
      <c r="D358" s="45" t="str">
        <f t="shared" si="37"/>
        <v/>
      </c>
      <c r="E358" s="45" t="str">
        <f t="shared" si="38"/>
        <v/>
      </c>
      <c r="F358" s="46" t="str">
        <f t="shared" si="39"/>
        <v/>
      </c>
      <c r="G358" s="47" t="str">
        <f t="shared" si="40"/>
        <v/>
      </c>
      <c r="H358" s="48" t="str">
        <f ca="1" t="shared" si="41"/>
        <v/>
      </c>
      <c r="I358" s="26"/>
    </row>
    <row r="359" ht="36" customHeight="1" spans="1:9">
      <c r="A359" s="42"/>
      <c r="B359" s="43" t="str">
        <f t="shared" si="35"/>
        <v/>
      </c>
      <c r="C359" s="44" t="str">
        <f t="shared" si="36"/>
        <v>[]</v>
      </c>
      <c r="D359" s="45" t="str">
        <f t="shared" si="37"/>
        <v/>
      </c>
      <c r="E359" s="45" t="str">
        <f t="shared" si="38"/>
        <v/>
      </c>
      <c r="F359" s="46" t="str">
        <f t="shared" si="39"/>
        <v/>
      </c>
      <c r="G359" s="47" t="str">
        <f t="shared" si="40"/>
        <v/>
      </c>
      <c r="H359" s="48" t="str">
        <f ca="1" t="shared" si="41"/>
        <v/>
      </c>
      <c r="I359" s="26"/>
    </row>
    <row r="360" ht="36" customHeight="1" spans="1:9">
      <c r="A360" s="42"/>
      <c r="B360" s="43" t="str">
        <f t="shared" si="35"/>
        <v/>
      </c>
      <c r="C360" s="44" t="str">
        <f t="shared" si="36"/>
        <v>[]</v>
      </c>
      <c r="D360" s="45" t="str">
        <f t="shared" si="37"/>
        <v/>
      </c>
      <c r="E360" s="45" t="str">
        <f t="shared" si="38"/>
        <v/>
      </c>
      <c r="F360" s="46" t="str">
        <f t="shared" si="39"/>
        <v/>
      </c>
      <c r="G360" s="47" t="str">
        <f t="shared" si="40"/>
        <v/>
      </c>
      <c r="H360" s="48" t="str">
        <f ca="1" t="shared" si="41"/>
        <v/>
      </c>
      <c r="I360" s="26"/>
    </row>
    <row r="361" ht="36" customHeight="1" spans="1:9">
      <c r="A361" s="42"/>
      <c r="B361" s="43" t="str">
        <f t="shared" si="35"/>
        <v/>
      </c>
      <c r="C361" s="44" t="str">
        <f t="shared" si="36"/>
        <v>[]</v>
      </c>
      <c r="D361" s="45" t="str">
        <f t="shared" si="37"/>
        <v/>
      </c>
      <c r="E361" s="45" t="str">
        <f t="shared" si="38"/>
        <v/>
      </c>
      <c r="F361" s="46" t="str">
        <f t="shared" si="39"/>
        <v/>
      </c>
      <c r="G361" s="47" t="str">
        <f t="shared" si="40"/>
        <v/>
      </c>
      <c r="H361" s="48" t="str">
        <f ca="1" t="shared" si="41"/>
        <v/>
      </c>
      <c r="I361" s="26"/>
    </row>
    <row r="362" ht="36" customHeight="1" spans="1:9">
      <c r="A362" s="42"/>
      <c r="B362" s="43" t="str">
        <f t="shared" si="35"/>
        <v/>
      </c>
      <c r="C362" s="44" t="str">
        <f t="shared" si="36"/>
        <v>[]</v>
      </c>
      <c r="D362" s="45" t="str">
        <f t="shared" si="37"/>
        <v/>
      </c>
      <c r="E362" s="45" t="str">
        <f t="shared" si="38"/>
        <v/>
      </c>
      <c r="F362" s="46" t="str">
        <f t="shared" si="39"/>
        <v/>
      </c>
      <c r="G362" s="47" t="str">
        <f t="shared" si="40"/>
        <v/>
      </c>
      <c r="H362" s="48" t="str">
        <f ca="1" t="shared" si="41"/>
        <v/>
      </c>
      <c r="I362" s="26"/>
    </row>
    <row r="363" ht="36" customHeight="1" spans="1:9">
      <c r="A363" s="42"/>
      <c r="B363" s="43" t="str">
        <f t="shared" si="35"/>
        <v/>
      </c>
      <c r="C363" s="44" t="str">
        <f t="shared" si="36"/>
        <v>[]</v>
      </c>
      <c r="D363" s="45" t="str">
        <f t="shared" si="37"/>
        <v/>
      </c>
      <c r="E363" s="45" t="str">
        <f t="shared" si="38"/>
        <v/>
      </c>
      <c r="F363" s="46" t="str">
        <f t="shared" si="39"/>
        <v/>
      </c>
      <c r="G363" s="47" t="str">
        <f t="shared" si="40"/>
        <v/>
      </c>
      <c r="H363" s="48" t="str">
        <f ca="1" t="shared" si="41"/>
        <v/>
      </c>
      <c r="I363" s="26"/>
    </row>
    <row r="364" ht="36" customHeight="1" spans="1:9">
      <c r="A364" s="42"/>
      <c r="B364" s="43" t="str">
        <f t="shared" si="35"/>
        <v/>
      </c>
      <c r="C364" s="44" t="str">
        <f t="shared" si="36"/>
        <v>[]</v>
      </c>
      <c r="D364" s="45" t="str">
        <f t="shared" si="37"/>
        <v/>
      </c>
      <c r="E364" s="45" t="str">
        <f t="shared" si="38"/>
        <v/>
      </c>
      <c r="F364" s="46" t="str">
        <f t="shared" si="39"/>
        <v/>
      </c>
      <c r="G364" s="47" t="str">
        <f t="shared" si="40"/>
        <v/>
      </c>
      <c r="H364" s="48" t="str">
        <f ca="1" t="shared" si="41"/>
        <v/>
      </c>
      <c r="I364" s="26"/>
    </row>
    <row r="365" ht="36" customHeight="1" spans="1:9">
      <c r="A365" s="42"/>
      <c r="B365" s="43" t="str">
        <f t="shared" si="35"/>
        <v/>
      </c>
      <c r="C365" s="44" t="str">
        <f t="shared" si="36"/>
        <v>[]</v>
      </c>
      <c r="D365" s="45" t="str">
        <f t="shared" si="37"/>
        <v/>
      </c>
      <c r="E365" s="45" t="str">
        <f t="shared" si="38"/>
        <v/>
      </c>
      <c r="F365" s="46" t="str">
        <f t="shared" si="39"/>
        <v/>
      </c>
      <c r="G365" s="47" t="str">
        <f t="shared" si="40"/>
        <v/>
      </c>
      <c r="H365" s="48" t="str">
        <f ca="1" t="shared" si="41"/>
        <v/>
      </c>
      <c r="I365" s="26"/>
    </row>
    <row r="366" ht="36" customHeight="1" spans="1:9">
      <c r="A366" s="42"/>
      <c r="B366" s="43" t="str">
        <f t="shared" si="35"/>
        <v/>
      </c>
      <c r="C366" s="44" t="str">
        <f t="shared" si="36"/>
        <v>[]</v>
      </c>
      <c r="D366" s="45" t="str">
        <f t="shared" si="37"/>
        <v/>
      </c>
      <c r="E366" s="45" t="str">
        <f t="shared" si="38"/>
        <v/>
      </c>
      <c r="F366" s="46" t="str">
        <f t="shared" si="39"/>
        <v/>
      </c>
      <c r="G366" s="47" t="str">
        <f t="shared" si="40"/>
        <v/>
      </c>
      <c r="H366" s="48" t="str">
        <f ca="1" t="shared" si="41"/>
        <v/>
      </c>
      <c r="I366" s="26"/>
    </row>
    <row r="367" ht="36" customHeight="1" spans="1:9">
      <c r="A367" s="42"/>
      <c r="B367" s="43" t="str">
        <f t="shared" si="35"/>
        <v/>
      </c>
      <c r="C367" s="44" t="str">
        <f t="shared" si="36"/>
        <v>[]</v>
      </c>
      <c r="D367" s="45" t="str">
        <f t="shared" si="37"/>
        <v/>
      </c>
      <c r="E367" s="45" t="str">
        <f t="shared" si="38"/>
        <v/>
      </c>
      <c r="F367" s="46" t="str">
        <f t="shared" si="39"/>
        <v/>
      </c>
      <c r="G367" s="47" t="str">
        <f t="shared" si="40"/>
        <v/>
      </c>
      <c r="H367" s="48" t="str">
        <f ca="1" t="shared" si="41"/>
        <v/>
      </c>
      <c r="I367" s="26"/>
    </row>
    <row r="368" ht="36" customHeight="1" spans="1:9">
      <c r="A368" s="42"/>
      <c r="B368" s="43" t="str">
        <f t="shared" si="35"/>
        <v/>
      </c>
      <c r="C368" s="44" t="str">
        <f t="shared" si="36"/>
        <v>[]</v>
      </c>
      <c r="D368" s="45" t="str">
        <f t="shared" si="37"/>
        <v/>
      </c>
      <c r="E368" s="45" t="str">
        <f t="shared" si="38"/>
        <v/>
      </c>
      <c r="F368" s="46" t="str">
        <f t="shared" si="39"/>
        <v/>
      </c>
      <c r="G368" s="47" t="str">
        <f t="shared" si="40"/>
        <v/>
      </c>
      <c r="H368" s="48" t="str">
        <f ca="1" t="shared" si="41"/>
        <v/>
      </c>
      <c r="I368" s="26"/>
    </row>
    <row r="369" ht="36" customHeight="1" spans="1:9">
      <c r="A369" s="42"/>
      <c r="B369" s="43" t="str">
        <f t="shared" si="35"/>
        <v/>
      </c>
      <c r="C369" s="44" t="str">
        <f t="shared" si="36"/>
        <v>[]</v>
      </c>
      <c r="D369" s="45" t="str">
        <f t="shared" si="37"/>
        <v/>
      </c>
      <c r="E369" s="45" t="str">
        <f t="shared" si="38"/>
        <v/>
      </c>
      <c r="F369" s="46" t="str">
        <f t="shared" si="39"/>
        <v/>
      </c>
      <c r="G369" s="47" t="str">
        <f t="shared" si="40"/>
        <v/>
      </c>
      <c r="H369" s="48" t="str">
        <f ca="1" t="shared" si="41"/>
        <v/>
      </c>
      <c r="I369" s="26"/>
    </row>
    <row r="370" ht="36" customHeight="1" spans="1:9">
      <c r="A370" s="42"/>
      <c r="B370" s="43" t="str">
        <f t="shared" si="35"/>
        <v/>
      </c>
      <c r="C370" s="44" t="str">
        <f t="shared" si="36"/>
        <v>[]</v>
      </c>
      <c r="D370" s="45" t="str">
        <f t="shared" si="37"/>
        <v/>
      </c>
      <c r="E370" s="45" t="str">
        <f t="shared" si="38"/>
        <v/>
      </c>
      <c r="F370" s="46" t="str">
        <f t="shared" si="39"/>
        <v/>
      </c>
      <c r="G370" s="47" t="str">
        <f t="shared" si="40"/>
        <v/>
      </c>
      <c r="H370" s="48" t="str">
        <f ca="1" t="shared" si="41"/>
        <v/>
      </c>
      <c r="I370" s="26"/>
    </row>
    <row r="371" ht="36" customHeight="1" spans="1:9">
      <c r="A371" s="42"/>
      <c r="B371" s="43" t="str">
        <f t="shared" si="35"/>
        <v/>
      </c>
      <c r="C371" s="44" t="str">
        <f t="shared" si="36"/>
        <v>[]</v>
      </c>
      <c r="D371" s="45" t="str">
        <f t="shared" si="37"/>
        <v/>
      </c>
      <c r="E371" s="45" t="str">
        <f t="shared" si="38"/>
        <v/>
      </c>
      <c r="F371" s="46" t="str">
        <f t="shared" si="39"/>
        <v/>
      </c>
      <c r="G371" s="47" t="str">
        <f t="shared" si="40"/>
        <v/>
      </c>
      <c r="H371" s="48" t="str">
        <f ca="1" t="shared" si="41"/>
        <v/>
      </c>
      <c r="I371" s="26"/>
    </row>
    <row r="372" ht="36" customHeight="1" spans="1:9">
      <c r="A372" s="42"/>
      <c r="B372" s="43" t="str">
        <f t="shared" si="35"/>
        <v/>
      </c>
      <c r="C372" s="44" t="str">
        <f t="shared" si="36"/>
        <v>[]</v>
      </c>
      <c r="D372" s="45" t="str">
        <f t="shared" si="37"/>
        <v/>
      </c>
      <c r="E372" s="45" t="str">
        <f t="shared" si="38"/>
        <v/>
      </c>
      <c r="F372" s="46" t="str">
        <f t="shared" si="39"/>
        <v/>
      </c>
      <c r="G372" s="47" t="str">
        <f t="shared" si="40"/>
        <v/>
      </c>
      <c r="H372" s="48" t="str">
        <f ca="1" t="shared" si="41"/>
        <v/>
      </c>
      <c r="I372" s="26"/>
    </row>
    <row r="373" ht="36" customHeight="1" spans="1:9">
      <c r="A373" s="42"/>
      <c r="B373" s="43" t="str">
        <f t="shared" si="35"/>
        <v/>
      </c>
      <c r="C373" s="44" t="str">
        <f t="shared" si="36"/>
        <v>[]</v>
      </c>
      <c r="D373" s="45" t="str">
        <f t="shared" si="37"/>
        <v/>
      </c>
      <c r="E373" s="45" t="str">
        <f t="shared" si="38"/>
        <v/>
      </c>
      <c r="F373" s="46" t="str">
        <f t="shared" si="39"/>
        <v/>
      </c>
      <c r="G373" s="47" t="str">
        <f t="shared" si="40"/>
        <v/>
      </c>
      <c r="H373" s="48" t="str">
        <f ca="1" t="shared" si="41"/>
        <v/>
      </c>
      <c r="I373" s="26"/>
    </row>
    <row r="374" ht="36" customHeight="1" spans="1:9">
      <c r="A374" s="42"/>
      <c r="B374" s="43" t="str">
        <f t="shared" si="35"/>
        <v/>
      </c>
      <c r="C374" s="44" t="str">
        <f t="shared" si="36"/>
        <v>[]</v>
      </c>
      <c r="D374" s="45" t="str">
        <f t="shared" si="37"/>
        <v/>
      </c>
      <c r="E374" s="45" t="str">
        <f t="shared" si="38"/>
        <v/>
      </c>
      <c r="F374" s="46" t="str">
        <f t="shared" si="39"/>
        <v/>
      </c>
      <c r="G374" s="47" t="str">
        <f t="shared" si="40"/>
        <v/>
      </c>
      <c r="H374" s="48" t="str">
        <f ca="1" t="shared" si="41"/>
        <v/>
      </c>
      <c r="I374" s="26"/>
    </row>
    <row r="375" ht="36" customHeight="1" spans="1:9">
      <c r="A375" s="42"/>
      <c r="B375" s="43" t="str">
        <f t="shared" si="35"/>
        <v/>
      </c>
      <c r="C375" s="44" t="str">
        <f t="shared" si="36"/>
        <v>[]</v>
      </c>
      <c r="D375" s="45" t="str">
        <f t="shared" si="37"/>
        <v/>
      </c>
      <c r="E375" s="45" t="str">
        <f t="shared" si="38"/>
        <v/>
      </c>
      <c r="F375" s="46" t="str">
        <f t="shared" si="39"/>
        <v/>
      </c>
      <c r="G375" s="47" t="str">
        <f t="shared" si="40"/>
        <v/>
      </c>
      <c r="H375" s="48" t="str">
        <f ca="1" t="shared" si="41"/>
        <v/>
      </c>
      <c r="I375" s="26"/>
    </row>
    <row r="376" ht="36" customHeight="1" spans="1:9">
      <c r="A376" s="42"/>
      <c r="B376" s="43" t="str">
        <f t="shared" si="35"/>
        <v/>
      </c>
      <c r="C376" s="44" t="str">
        <f t="shared" si="36"/>
        <v>[]</v>
      </c>
      <c r="D376" s="45" t="str">
        <f t="shared" si="37"/>
        <v/>
      </c>
      <c r="E376" s="45" t="str">
        <f t="shared" si="38"/>
        <v/>
      </c>
      <c r="F376" s="46" t="str">
        <f t="shared" si="39"/>
        <v/>
      </c>
      <c r="G376" s="47" t="str">
        <f t="shared" si="40"/>
        <v/>
      </c>
      <c r="H376" s="48" t="str">
        <f ca="1" t="shared" si="41"/>
        <v/>
      </c>
      <c r="I376" s="26"/>
    </row>
    <row r="377" ht="36" customHeight="1" spans="1:9">
      <c r="A377" s="42"/>
      <c r="B377" s="43" t="str">
        <f t="shared" si="35"/>
        <v/>
      </c>
      <c r="C377" s="44" t="str">
        <f t="shared" si="36"/>
        <v>[]</v>
      </c>
      <c r="D377" s="45" t="str">
        <f t="shared" si="37"/>
        <v/>
      </c>
      <c r="E377" s="45" t="str">
        <f t="shared" si="38"/>
        <v/>
      </c>
      <c r="F377" s="46" t="str">
        <f t="shared" si="39"/>
        <v/>
      </c>
      <c r="G377" s="47" t="str">
        <f t="shared" si="40"/>
        <v/>
      </c>
      <c r="H377" s="48" t="str">
        <f ca="1" t="shared" si="41"/>
        <v/>
      </c>
      <c r="I377" s="26"/>
    </row>
    <row r="378" ht="36" customHeight="1" spans="1:9">
      <c r="A378" s="42"/>
      <c r="B378" s="43" t="str">
        <f t="shared" si="35"/>
        <v/>
      </c>
      <c r="C378" s="44" t="str">
        <f t="shared" si="36"/>
        <v>[]</v>
      </c>
      <c r="D378" s="45" t="str">
        <f t="shared" si="37"/>
        <v/>
      </c>
      <c r="E378" s="45" t="str">
        <f t="shared" si="38"/>
        <v/>
      </c>
      <c r="F378" s="46" t="str">
        <f t="shared" si="39"/>
        <v/>
      </c>
      <c r="G378" s="47" t="str">
        <f t="shared" si="40"/>
        <v/>
      </c>
      <c r="H378" s="48" t="str">
        <f ca="1" t="shared" si="41"/>
        <v/>
      </c>
      <c r="I378" s="26"/>
    </row>
    <row r="379" ht="36" customHeight="1" spans="1:9">
      <c r="A379" s="42"/>
      <c r="B379" s="43" t="str">
        <f t="shared" si="35"/>
        <v/>
      </c>
      <c r="C379" s="44" t="str">
        <f t="shared" si="36"/>
        <v>[]</v>
      </c>
      <c r="D379" s="45" t="str">
        <f t="shared" si="37"/>
        <v/>
      </c>
      <c r="E379" s="45" t="str">
        <f t="shared" si="38"/>
        <v/>
      </c>
      <c r="F379" s="46" t="str">
        <f t="shared" si="39"/>
        <v/>
      </c>
      <c r="G379" s="47" t="str">
        <f t="shared" si="40"/>
        <v/>
      </c>
      <c r="H379" s="48" t="str">
        <f ca="1" t="shared" si="41"/>
        <v/>
      </c>
      <c r="I379" s="26"/>
    </row>
    <row r="380" ht="36" customHeight="1" spans="1:9">
      <c r="A380" s="42"/>
      <c r="B380" s="43" t="str">
        <f t="shared" si="35"/>
        <v/>
      </c>
      <c r="C380" s="44" t="str">
        <f t="shared" si="36"/>
        <v>[]</v>
      </c>
      <c r="D380" s="45" t="str">
        <f t="shared" si="37"/>
        <v/>
      </c>
      <c r="E380" s="45" t="str">
        <f t="shared" si="38"/>
        <v/>
      </c>
      <c r="F380" s="46" t="str">
        <f t="shared" si="39"/>
        <v/>
      </c>
      <c r="G380" s="47" t="str">
        <f t="shared" si="40"/>
        <v/>
      </c>
      <c r="H380" s="48" t="str">
        <f ca="1" t="shared" si="41"/>
        <v/>
      </c>
      <c r="I380" s="26"/>
    </row>
    <row r="381" ht="36" customHeight="1" spans="1:9">
      <c r="A381" s="42"/>
      <c r="B381" s="43" t="str">
        <f t="shared" si="35"/>
        <v/>
      </c>
      <c r="C381" s="44" t="str">
        <f t="shared" si="36"/>
        <v>[]</v>
      </c>
      <c r="D381" s="45" t="str">
        <f t="shared" si="37"/>
        <v/>
      </c>
      <c r="E381" s="45" t="str">
        <f t="shared" si="38"/>
        <v/>
      </c>
      <c r="F381" s="46" t="str">
        <f t="shared" si="39"/>
        <v/>
      </c>
      <c r="G381" s="47" t="str">
        <f t="shared" si="40"/>
        <v/>
      </c>
      <c r="H381" s="48" t="str">
        <f ca="1" t="shared" si="41"/>
        <v/>
      </c>
      <c r="I381" s="26"/>
    </row>
    <row r="382" ht="36" customHeight="1" spans="1:9">
      <c r="A382" s="42"/>
      <c r="B382" s="43" t="str">
        <f t="shared" si="35"/>
        <v/>
      </c>
      <c r="C382" s="44" t="str">
        <f t="shared" si="36"/>
        <v>[]</v>
      </c>
      <c r="D382" s="45" t="str">
        <f t="shared" si="37"/>
        <v/>
      </c>
      <c r="E382" s="45" t="str">
        <f t="shared" si="38"/>
        <v/>
      </c>
      <c r="F382" s="46" t="str">
        <f t="shared" si="39"/>
        <v/>
      </c>
      <c r="G382" s="47" t="str">
        <f t="shared" si="40"/>
        <v/>
      </c>
      <c r="H382" s="48" t="str">
        <f ca="1" t="shared" si="41"/>
        <v/>
      </c>
      <c r="I382" s="26"/>
    </row>
    <row r="383" ht="36" customHeight="1" spans="1:9">
      <c r="A383" s="42"/>
      <c r="B383" s="43" t="str">
        <f t="shared" si="35"/>
        <v/>
      </c>
      <c r="C383" s="44" t="str">
        <f t="shared" si="36"/>
        <v>[]</v>
      </c>
      <c r="D383" s="45" t="str">
        <f t="shared" si="37"/>
        <v/>
      </c>
      <c r="E383" s="45" t="str">
        <f t="shared" si="38"/>
        <v/>
      </c>
      <c r="F383" s="46" t="str">
        <f t="shared" si="39"/>
        <v/>
      </c>
      <c r="G383" s="47" t="str">
        <f t="shared" si="40"/>
        <v/>
      </c>
      <c r="H383" s="48" t="str">
        <f ca="1" t="shared" si="41"/>
        <v/>
      </c>
      <c r="I383" s="26"/>
    </row>
    <row r="384" ht="36" customHeight="1" spans="1:9">
      <c r="A384" s="42"/>
      <c r="B384" s="43" t="str">
        <f t="shared" si="35"/>
        <v/>
      </c>
      <c r="C384" s="44" t="str">
        <f t="shared" si="36"/>
        <v>[]</v>
      </c>
      <c r="D384" s="45" t="str">
        <f t="shared" si="37"/>
        <v/>
      </c>
      <c r="E384" s="45" t="str">
        <f t="shared" si="38"/>
        <v/>
      </c>
      <c r="F384" s="46" t="str">
        <f t="shared" si="39"/>
        <v/>
      </c>
      <c r="G384" s="47" t="str">
        <f t="shared" si="40"/>
        <v/>
      </c>
      <c r="H384" s="48" t="str">
        <f ca="1" t="shared" si="41"/>
        <v/>
      </c>
      <c r="I384" s="26"/>
    </row>
    <row r="385" ht="36" customHeight="1" spans="1:9">
      <c r="A385" s="42"/>
      <c r="B385" s="43" t="str">
        <f t="shared" ref="B385:B448" si="42">IFERROR("@"&amp;MID(A385,SEARCH("{",A385)+1,SEARCH(",",A385)-SEARCH("{",A385)-1),"")</f>
        <v/>
      </c>
      <c r="C385" s="44" t="str">
        <f t="shared" ref="C385:C448" si="43">"["&amp;B385&amp;"]"</f>
        <v>[]</v>
      </c>
      <c r="D385" s="45" t="str">
        <f t="shared" ref="D385:D448" si="44">IFERROR(MID(A385,SEARCH("year = {",A385)+8,4),"")</f>
        <v/>
      </c>
      <c r="E385" s="45" t="str">
        <f t="shared" ref="E385:E448" si="45">IFERROR(MID(A385,SEARCH("author = {",A385)+10,SEARCH("}",A385,SEARCH("author = {",A385))-SEARCH("author = {",A385)-10),"")</f>
        <v/>
      </c>
      <c r="F385" s="46" t="str">
        <f t="shared" ref="F385:F448" si="46">IFERROR(IF(ISERROR(FIND("title =",A385)),"",MID(A385,FIND("title =",A385)+9,FIND("},",A385,FIND("title =",A385))-FIND("title =",A385)-9)),"")</f>
        <v/>
      </c>
      <c r="G385" s="47" t="str">
        <f t="shared" ref="G385:G448" si="47">IFERROR("https://doi.org/"&amp;MID(A385,SEARCH("doi = {",A385)+7,FIND("}",A385,SEARCH("doi = {",A385))-SEARCH("doi = {",A385)-7),"")</f>
        <v/>
      </c>
      <c r="H385" s="48" t="str">
        <f ca="1" t="shared" ref="H385:H448" si="48">IF(A385&lt;&gt;"",IF(H385&lt;&gt;"",H385,NOW()),"")</f>
        <v/>
      </c>
      <c r="I385" s="26"/>
    </row>
    <row r="386" ht="36" customHeight="1" spans="1:9">
      <c r="A386" s="42"/>
      <c r="B386" s="43" t="str">
        <f t="shared" si="42"/>
        <v/>
      </c>
      <c r="C386" s="44" t="str">
        <f t="shared" si="43"/>
        <v>[]</v>
      </c>
      <c r="D386" s="45" t="str">
        <f t="shared" si="44"/>
        <v/>
      </c>
      <c r="E386" s="45" t="str">
        <f t="shared" si="45"/>
        <v/>
      </c>
      <c r="F386" s="46" t="str">
        <f t="shared" si="46"/>
        <v/>
      </c>
      <c r="G386" s="47" t="str">
        <f t="shared" si="47"/>
        <v/>
      </c>
      <c r="H386" s="48" t="str">
        <f ca="1" t="shared" si="48"/>
        <v/>
      </c>
      <c r="I386" s="26"/>
    </row>
    <row r="387" ht="36" customHeight="1" spans="1:9">
      <c r="A387" s="42"/>
      <c r="B387" s="43" t="str">
        <f t="shared" si="42"/>
        <v/>
      </c>
      <c r="C387" s="44" t="str">
        <f t="shared" si="43"/>
        <v>[]</v>
      </c>
      <c r="D387" s="45" t="str">
        <f t="shared" si="44"/>
        <v/>
      </c>
      <c r="E387" s="45" t="str">
        <f t="shared" si="45"/>
        <v/>
      </c>
      <c r="F387" s="46" t="str">
        <f t="shared" si="46"/>
        <v/>
      </c>
      <c r="G387" s="47" t="str">
        <f t="shared" si="47"/>
        <v/>
      </c>
      <c r="H387" s="48" t="str">
        <f ca="1" t="shared" si="48"/>
        <v/>
      </c>
      <c r="I387" s="26"/>
    </row>
    <row r="388" ht="36" customHeight="1" spans="1:9">
      <c r="A388" s="42"/>
      <c r="B388" s="43" t="str">
        <f t="shared" si="42"/>
        <v/>
      </c>
      <c r="C388" s="44" t="str">
        <f t="shared" si="43"/>
        <v>[]</v>
      </c>
      <c r="D388" s="45" t="str">
        <f t="shared" si="44"/>
        <v/>
      </c>
      <c r="E388" s="45" t="str">
        <f t="shared" si="45"/>
        <v/>
      </c>
      <c r="F388" s="46" t="str">
        <f t="shared" si="46"/>
        <v/>
      </c>
      <c r="G388" s="47" t="str">
        <f t="shared" si="47"/>
        <v/>
      </c>
      <c r="H388" s="48" t="str">
        <f ca="1" t="shared" si="48"/>
        <v/>
      </c>
      <c r="I388" s="26"/>
    </row>
    <row r="389" ht="36" customHeight="1" spans="1:9">
      <c r="A389" s="42"/>
      <c r="B389" s="43" t="str">
        <f t="shared" si="42"/>
        <v/>
      </c>
      <c r="C389" s="44" t="str">
        <f t="shared" si="43"/>
        <v>[]</v>
      </c>
      <c r="D389" s="45" t="str">
        <f t="shared" si="44"/>
        <v/>
      </c>
      <c r="E389" s="45" t="str">
        <f t="shared" si="45"/>
        <v/>
      </c>
      <c r="F389" s="46" t="str">
        <f t="shared" si="46"/>
        <v/>
      </c>
      <c r="G389" s="47" t="str">
        <f t="shared" si="47"/>
        <v/>
      </c>
      <c r="H389" s="48" t="str">
        <f ca="1" t="shared" si="48"/>
        <v/>
      </c>
      <c r="I389" s="26"/>
    </row>
    <row r="390" ht="36" customHeight="1" spans="1:9">
      <c r="A390" s="42"/>
      <c r="B390" s="43" t="str">
        <f t="shared" si="42"/>
        <v/>
      </c>
      <c r="C390" s="44" t="str">
        <f t="shared" si="43"/>
        <v>[]</v>
      </c>
      <c r="D390" s="45" t="str">
        <f t="shared" si="44"/>
        <v/>
      </c>
      <c r="E390" s="45" t="str">
        <f t="shared" si="45"/>
        <v/>
      </c>
      <c r="F390" s="46" t="str">
        <f t="shared" si="46"/>
        <v/>
      </c>
      <c r="G390" s="47" t="str">
        <f t="shared" si="47"/>
        <v/>
      </c>
      <c r="H390" s="48" t="str">
        <f ca="1" t="shared" si="48"/>
        <v/>
      </c>
      <c r="I390" s="26"/>
    </row>
    <row r="391" ht="36" customHeight="1" spans="1:9">
      <c r="A391" s="42"/>
      <c r="B391" s="43" t="str">
        <f t="shared" si="42"/>
        <v/>
      </c>
      <c r="C391" s="44" t="str">
        <f t="shared" si="43"/>
        <v>[]</v>
      </c>
      <c r="D391" s="45" t="str">
        <f t="shared" si="44"/>
        <v/>
      </c>
      <c r="E391" s="45" t="str">
        <f t="shared" si="45"/>
        <v/>
      </c>
      <c r="F391" s="46" t="str">
        <f t="shared" si="46"/>
        <v/>
      </c>
      <c r="G391" s="47" t="str">
        <f t="shared" si="47"/>
        <v/>
      </c>
      <c r="H391" s="48" t="str">
        <f ca="1" t="shared" si="48"/>
        <v/>
      </c>
      <c r="I391" s="26"/>
    </row>
    <row r="392" ht="36" customHeight="1" spans="1:9">
      <c r="A392" s="42"/>
      <c r="B392" s="43" t="str">
        <f t="shared" si="42"/>
        <v/>
      </c>
      <c r="C392" s="44" t="str">
        <f t="shared" si="43"/>
        <v>[]</v>
      </c>
      <c r="D392" s="45" t="str">
        <f t="shared" si="44"/>
        <v/>
      </c>
      <c r="E392" s="45" t="str">
        <f t="shared" si="45"/>
        <v/>
      </c>
      <c r="F392" s="46" t="str">
        <f t="shared" si="46"/>
        <v/>
      </c>
      <c r="G392" s="47" t="str">
        <f t="shared" si="47"/>
        <v/>
      </c>
      <c r="H392" s="48" t="str">
        <f ca="1" t="shared" si="48"/>
        <v/>
      </c>
      <c r="I392" s="26"/>
    </row>
    <row r="393" ht="36" customHeight="1" spans="1:9">
      <c r="A393" s="42"/>
      <c r="B393" s="43" t="str">
        <f t="shared" si="42"/>
        <v/>
      </c>
      <c r="C393" s="44" t="str">
        <f t="shared" si="43"/>
        <v>[]</v>
      </c>
      <c r="D393" s="45" t="str">
        <f t="shared" si="44"/>
        <v/>
      </c>
      <c r="E393" s="45" t="str">
        <f t="shared" si="45"/>
        <v/>
      </c>
      <c r="F393" s="46" t="str">
        <f t="shared" si="46"/>
        <v/>
      </c>
      <c r="G393" s="47" t="str">
        <f t="shared" si="47"/>
        <v/>
      </c>
      <c r="H393" s="48" t="str">
        <f ca="1" t="shared" si="48"/>
        <v/>
      </c>
      <c r="I393" s="26"/>
    </row>
    <row r="394" ht="36" customHeight="1" spans="1:9">
      <c r="A394" s="42"/>
      <c r="B394" s="43" t="str">
        <f t="shared" si="42"/>
        <v/>
      </c>
      <c r="C394" s="44" t="str">
        <f t="shared" si="43"/>
        <v>[]</v>
      </c>
      <c r="D394" s="45" t="str">
        <f t="shared" si="44"/>
        <v/>
      </c>
      <c r="E394" s="45" t="str">
        <f t="shared" si="45"/>
        <v/>
      </c>
      <c r="F394" s="46" t="str">
        <f t="shared" si="46"/>
        <v/>
      </c>
      <c r="G394" s="47" t="str">
        <f t="shared" si="47"/>
        <v/>
      </c>
      <c r="H394" s="48" t="str">
        <f ca="1" t="shared" si="48"/>
        <v/>
      </c>
      <c r="I394" s="26"/>
    </row>
    <row r="395" ht="36" customHeight="1" spans="1:9">
      <c r="A395" s="42"/>
      <c r="B395" s="43" t="str">
        <f t="shared" si="42"/>
        <v/>
      </c>
      <c r="C395" s="44" t="str">
        <f t="shared" si="43"/>
        <v>[]</v>
      </c>
      <c r="D395" s="45" t="str">
        <f t="shared" si="44"/>
        <v/>
      </c>
      <c r="E395" s="45" t="str">
        <f t="shared" si="45"/>
        <v/>
      </c>
      <c r="F395" s="46" t="str">
        <f t="shared" si="46"/>
        <v/>
      </c>
      <c r="G395" s="47" t="str">
        <f t="shared" si="47"/>
        <v/>
      </c>
      <c r="H395" s="48" t="str">
        <f ca="1" t="shared" si="48"/>
        <v/>
      </c>
      <c r="I395" s="26"/>
    </row>
    <row r="396" ht="36" customHeight="1" spans="1:9">
      <c r="A396" s="42"/>
      <c r="B396" s="43" t="str">
        <f t="shared" si="42"/>
        <v/>
      </c>
      <c r="C396" s="44" t="str">
        <f t="shared" si="43"/>
        <v>[]</v>
      </c>
      <c r="D396" s="45" t="str">
        <f t="shared" si="44"/>
        <v/>
      </c>
      <c r="E396" s="45" t="str">
        <f t="shared" si="45"/>
        <v/>
      </c>
      <c r="F396" s="46" t="str">
        <f t="shared" si="46"/>
        <v/>
      </c>
      <c r="G396" s="47" t="str">
        <f t="shared" si="47"/>
        <v/>
      </c>
      <c r="H396" s="48" t="str">
        <f ca="1" t="shared" si="48"/>
        <v/>
      </c>
      <c r="I396" s="26"/>
    </row>
    <row r="397" ht="36" customHeight="1" spans="1:9">
      <c r="A397" s="42"/>
      <c r="B397" s="43" t="str">
        <f t="shared" si="42"/>
        <v/>
      </c>
      <c r="C397" s="44" t="str">
        <f t="shared" si="43"/>
        <v>[]</v>
      </c>
      <c r="D397" s="45" t="str">
        <f t="shared" si="44"/>
        <v/>
      </c>
      <c r="E397" s="45" t="str">
        <f t="shared" si="45"/>
        <v/>
      </c>
      <c r="F397" s="46" t="str">
        <f t="shared" si="46"/>
        <v/>
      </c>
      <c r="G397" s="47" t="str">
        <f t="shared" si="47"/>
        <v/>
      </c>
      <c r="H397" s="48" t="str">
        <f ca="1" t="shared" si="48"/>
        <v/>
      </c>
      <c r="I397" s="26"/>
    </row>
    <row r="398" ht="36" customHeight="1" spans="1:9">
      <c r="A398" s="42"/>
      <c r="B398" s="43" t="str">
        <f t="shared" si="42"/>
        <v/>
      </c>
      <c r="C398" s="44" t="str">
        <f t="shared" si="43"/>
        <v>[]</v>
      </c>
      <c r="D398" s="45" t="str">
        <f t="shared" si="44"/>
        <v/>
      </c>
      <c r="E398" s="45" t="str">
        <f t="shared" si="45"/>
        <v/>
      </c>
      <c r="F398" s="46" t="str">
        <f t="shared" si="46"/>
        <v/>
      </c>
      <c r="G398" s="47" t="str">
        <f t="shared" si="47"/>
        <v/>
      </c>
      <c r="H398" s="48" t="str">
        <f ca="1" t="shared" si="48"/>
        <v/>
      </c>
      <c r="I398" s="26"/>
    </row>
    <row r="399" ht="36" customHeight="1" spans="1:9">
      <c r="A399" s="42"/>
      <c r="B399" s="43" t="str">
        <f t="shared" si="42"/>
        <v/>
      </c>
      <c r="C399" s="44" t="str">
        <f t="shared" si="43"/>
        <v>[]</v>
      </c>
      <c r="D399" s="45" t="str">
        <f t="shared" si="44"/>
        <v/>
      </c>
      <c r="E399" s="45" t="str">
        <f t="shared" si="45"/>
        <v/>
      </c>
      <c r="F399" s="46" t="str">
        <f t="shared" si="46"/>
        <v/>
      </c>
      <c r="G399" s="47" t="str">
        <f t="shared" si="47"/>
        <v/>
      </c>
      <c r="H399" s="48" t="str">
        <f ca="1" t="shared" si="48"/>
        <v/>
      </c>
      <c r="I399" s="26"/>
    </row>
    <row r="400" ht="36" customHeight="1" spans="1:9">
      <c r="A400" s="42"/>
      <c r="B400" s="43" t="str">
        <f t="shared" si="42"/>
        <v/>
      </c>
      <c r="C400" s="44" t="str">
        <f t="shared" si="43"/>
        <v>[]</v>
      </c>
      <c r="D400" s="45" t="str">
        <f t="shared" si="44"/>
        <v/>
      </c>
      <c r="E400" s="45" t="str">
        <f t="shared" si="45"/>
        <v/>
      </c>
      <c r="F400" s="46" t="str">
        <f t="shared" si="46"/>
        <v/>
      </c>
      <c r="G400" s="47" t="str">
        <f t="shared" si="47"/>
        <v/>
      </c>
      <c r="H400" s="48" t="str">
        <f ca="1" t="shared" si="48"/>
        <v/>
      </c>
      <c r="I400" s="26"/>
    </row>
    <row r="401" ht="36" customHeight="1" spans="1:9">
      <c r="A401" s="42"/>
      <c r="B401" s="43" t="str">
        <f t="shared" si="42"/>
        <v/>
      </c>
      <c r="C401" s="44" t="str">
        <f t="shared" si="43"/>
        <v>[]</v>
      </c>
      <c r="D401" s="45" t="str">
        <f t="shared" si="44"/>
        <v/>
      </c>
      <c r="E401" s="45" t="str">
        <f t="shared" si="45"/>
        <v/>
      </c>
      <c r="F401" s="46" t="str">
        <f t="shared" si="46"/>
        <v/>
      </c>
      <c r="G401" s="47" t="str">
        <f t="shared" si="47"/>
        <v/>
      </c>
      <c r="H401" s="48" t="str">
        <f ca="1" t="shared" si="48"/>
        <v/>
      </c>
      <c r="I401" s="26"/>
    </row>
    <row r="402" ht="36" customHeight="1" spans="1:9">
      <c r="A402" s="42"/>
      <c r="B402" s="43" t="str">
        <f t="shared" si="42"/>
        <v/>
      </c>
      <c r="C402" s="44" t="str">
        <f t="shared" si="43"/>
        <v>[]</v>
      </c>
      <c r="D402" s="45" t="str">
        <f t="shared" si="44"/>
        <v/>
      </c>
      <c r="E402" s="45" t="str">
        <f t="shared" si="45"/>
        <v/>
      </c>
      <c r="F402" s="46" t="str">
        <f t="shared" si="46"/>
        <v/>
      </c>
      <c r="G402" s="47" t="str">
        <f t="shared" si="47"/>
        <v/>
      </c>
      <c r="H402" s="48" t="str">
        <f ca="1" t="shared" si="48"/>
        <v/>
      </c>
      <c r="I402" s="26"/>
    </row>
    <row r="403" ht="36" customHeight="1" spans="1:9">
      <c r="A403" s="42"/>
      <c r="B403" s="43" t="str">
        <f t="shared" si="42"/>
        <v/>
      </c>
      <c r="C403" s="44" t="str">
        <f t="shared" si="43"/>
        <v>[]</v>
      </c>
      <c r="D403" s="45" t="str">
        <f t="shared" si="44"/>
        <v/>
      </c>
      <c r="E403" s="45" t="str">
        <f t="shared" si="45"/>
        <v/>
      </c>
      <c r="F403" s="46" t="str">
        <f t="shared" si="46"/>
        <v/>
      </c>
      <c r="G403" s="47" t="str">
        <f t="shared" si="47"/>
        <v/>
      </c>
      <c r="H403" s="48" t="str">
        <f ca="1" t="shared" si="48"/>
        <v/>
      </c>
      <c r="I403" s="26"/>
    </row>
    <row r="404" ht="36" customHeight="1" spans="1:9">
      <c r="A404" s="42"/>
      <c r="B404" s="43" t="str">
        <f t="shared" si="42"/>
        <v/>
      </c>
      <c r="C404" s="44" t="str">
        <f t="shared" si="43"/>
        <v>[]</v>
      </c>
      <c r="D404" s="45" t="str">
        <f t="shared" si="44"/>
        <v/>
      </c>
      <c r="E404" s="45" t="str">
        <f t="shared" si="45"/>
        <v/>
      </c>
      <c r="F404" s="46" t="str">
        <f t="shared" si="46"/>
        <v/>
      </c>
      <c r="G404" s="47" t="str">
        <f t="shared" si="47"/>
        <v/>
      </c>
      <c r="H404" s="48" t="str">
        <f ca="1" t="shared" si="48"/>
        <v/>
      </c>
      <c r="I404" s="26"/>
    </row>
    <row r="405" ht="36" customHeight="1" spans="1:9">
      <c r="A405" s="42"/>
      <c r="B405" s="43" t="str">
        <f t="shared" si="42"/>
        <v/>
      </c>
      <c r="C405" s="44" t="str">
        <f t="shared" si="43"/>
        <v>[]</v>
      </c>
      <c r="D405" s="45" t="str">
        <f t="shared" si="44"/>
        <v/>
      </c>
      <c r="E405" s="45" t="str">
        <f t="shared" si="45"/>
        <v/>
      </c>
      <c r="F405" s="46" t="str">
        <f t="shared" si="46"/>
        <v/>
      </c>
      <c r="G405" s="47" t="str">
        <f t="shared" si="47"/>
        <v/>
      </c>
      <c r="H405" s="48" t="str">
        <f ca="1" t="shared" si="48"/>
        <v/>
      </c>
      <c r="I405" s="26"/>
    </row>
    <row r="406" ht="36" customHeight="1" spans="1:9">
      <c r="A406" s="42"/>
      <c r="B406" s="43" t="str">
        <f t="shared" si="42"/>
        <v/>
      </c>
      <c r="C406" s="44" t="str">
        <f t="shared" si="43"/>
        <v>[]</v>
      </c>
      <c r="D406" s="45" t="str">
        <f t="shared" si="44"/>
        <v/>
      </c>
      <c r="E406" s="45" t="str">
        <f t="shared" si="45"/>
        <v/>
      </c>
      <c r="F406" s="46" t="str">
        <f t="shared" si="46"/>
        <v/>
      </c>
      <c r="G406" s="47" t="str">
        <f t="shared" si="47"/>
        <v/>
      </c>
      <c r="H406" s="48" t="str">
        <f ca="1" t="shared" si="48"/>
        <v/>
      </c>
      <c r="I406" s="26"/>
    </row>
    <row r="407" ht="36" customHeight="1" spans="1:9">
      <c r="A407" s="42"/>
      <c r="B407" s="43" t="str">
        <f t="shared" si="42"/>
        <v/>
      </c>
      <c r="C407" s="44" t="str">
        <f t="shared" si="43"/>
        <v>[]</v>
      </c>
      <c r="D407" s="45" t="str">
        <f t="shared" si="44"/>
        <v/>
      </c>
      <c r="E407" s="45" t="str">
        <f t="shared" si="45"/>
        <v/>
      </c>
      <c r="F407" s="46" t="str">
        <f t="shared" si="46"/>
        <v/>
      </c>
      <c r="G407" s="47" t="str">
        <f t="shared" si="47"/>
        <v/>
      </c>
      <c r="H407" s="48" t="str">
        <f ca="1" t="shared" si="48"/>
        <v/>
      </c>
      <c r="I407" s="26"/>
    </row>
    <row r="408" ht="36" customHeight="1" spans="1:9">
      <c r="A408" s="42"/>
      <c r="B408" s="43" t="str">
        <f t="shared" si="42"/>
        <v/>
      </c>
      <c r="C408" s="44" t="str">
        <f t="shared" si="43"/>
        <v>[]</v>
      </c>
      <c r="D408" s="45" t="str">
        <f t="shared" si="44"/>
        <v/>
      </c>
      <c r="E408" s="45" t="str">
        <f t="shared" si="45"/>
        <v/>
      </c>
      <c r="F408" s="46" t="str">
        <f t="shared" si="46"/>
        <v/>
      </c>
      <c r="G408" s="47" t="str">
        <f t="shared" si="47"/>
        <v/>
      </c>
      <c r="H408" s="48" t="str">
        <f ca="1" t="shared" si="48"/>
        <v/>
      </c>
      <c r="I408" s="26"/>
    </row>
    <row r="409" ht="36" customHeight="1" spans="1:9">
      <c r="A409" s="42"/>
      <c r="B409" s="43" t="str">
        <f t="shared" si="42"/>
        <v/>
      </c>
      <c r="C409" s="44" t="str">
        <f t="shared" si="43"/>
        <v>[]</v>
      </c>
      <c r="D409" s="45" t="str">
        <f t="shared" si="44"/>
        <v/>
      </c>
      <c r="E409" s="45" t="str">
        <f t="shared" si="45"/>
        <v/>
      </c>
      <c r="F409" s="46" t="str">
        <f t="shared" si="46"/>
        <v/>
      </c>
      <c r="G409" s="47" t="str">
        <f t="shared" si="47"/>
        <v/>
      </c>
      <c r="H409" s="48" t="str">
        <f ca="1" t="shared" si="48"/>
        <v/>
      </c>
      <c r="I409" s="26"/>
    </row>
    <row r="410" ht="36" customHeight="1" spans="1:9">
      <c r="A410" s="42"/>
      <c r="B410" s="43" t="str">
        <f t="shared" si="42"/>
        <v/>
      </c>
      <c r="C410" s="44" t="str">
        <f t="shared" si="43"/>
        <v>[]</v>
      </c>
      <c r="D410" s="45" t="str">
        <f t="shared" si="44"/>
        <v/>
      </c>
      <c r="E410" s="45" t="str">
        <f t="shared" si="45"/>
        <v/>
      </c>
      <c r="F410" s="46" t="str">
        <f t="shared" si="46"/>
        <v/>
      </c>
      <c r="G410" s="47" t="str">
        <f t="shared" si="47"/>
        <v/>
      </c>
      <c r="H410" s="48" t="str">
        <f ca="1" t="shared" si="48"/>
        <v/>
      </c>
      <c r="I410" s="26"/>
    </row>
    <row r="411" ht="36" customHeight="1" spans="1:9">
      <c r="A411" s="42"/>
      <c r="B411" s="43" t="str">
        <f t="shared" si="42"/>
        <v/>
      </c>
      <c r="C411" s="44" t="str">
        <f t="shared" si="43"/>
        <v>[]</v>
      </c>
      <c r="D411" s="45" t="str">
        <f t="shared" si="44"/>
        <v/>
      </c>
      <c r="E411" s="45" t="str">
        <f t="shared" si="45"/>
        <v/>
      </c>
      <c r="F411" s="46" t="str">
        <f t="shared" si="46"/>
        <v/>
      </c>
      <c r="G411" s="47" t="str">
        <f t="shared" si="47"/>
        <v/>
      </c>
      <c r="H411" s="48" t="str">
        <f ca="1" t="shared" si="48"/>
        <v/>
      </c>
      <c r="I411" s="26"/>
    </row>
    <row r="412" ht="36" customHeight="1" spans="1:9">
      <c r="A412" s="42"/>
      <c r="B412" s="43" t="str">
        <f t="shared" si="42"/>
        <v/>
      </c>
      <c r="C412" s="44" t="str">
        <f t="shared" si="43"/>
        <v>[]</v>
      </c>
      <c r="D412" s="45" t="str">
        <f t="shared" si="44"/>
        <v/>
      </c>
      <c r="E412" s="45" t="str">
        <f t="shared" si="45"/>
        <v/>
      </c>
      <c r="F412" s="46" t="str">
        <f t="shared" si="46"/>
        <v/>
      </c>
      <c r="G412" s="47" t="str">
        <f t="shared" si="47"/>
        <v/>
      </c>
      <c r="H412" s="48" t="str">
        <f ca="1" t="shared" si="48"/>
        <v/>
      </c>
      <c r="I412" s="26"/>
    </row>
    <row r="413" ht="36" customHeight="1" spans="1:9">
      <c r="A413" s="42"/>
      <c r="B413" s="43" t="str">
        <f t="shared" si="42"/>
        <v/>
      </c>
      <c r="C413" s="44" t="str">
        <f t="shared" si="43"/>
        <v>[]</v>
      </c>
      <c r="D413" s="45" t="str">
        <f t="shared" si="44"/>
        <v/>
      </c>
      <c r="E413" s="45" t="str">
        <f t="shared" si="45"/>
        <v/>
      </c>
      <c r="F413" s="46" t="str">
        <f t="shared" si="46"/>
        <v/>
      </c>
      <c r="G413" s="47" t="str">
        <f t="shared" si="47"/>
        <v/>
      </c>
      <c r="H413" s="48" t="str">
        <f ca="1" t="shared" si="48"/>
        <v/>
      </c>
      <c r="I413" s="26"/>
    </row>
    <row r="414" ht="36" customHeight="1" spans="1:9">
      <c r="A414" s="42"/>
      <c r="B414" s="43" t="str">
        <f t="shared" si="42"/>
        <v/>
      </c>
      <c r="C414" s="44" t="str">
        <f t="shared" si="43"/>
        <v>[]</v>
      </c>
      <c r="D414" s="45" t="str">
        <f t="shared" si="44"/>
        <v/>
      </c>
      <c r="E414" s="45" t="str">
        <f t="shared" si="45"/>
        <v/>
      </c>
      <c r="F414" s="46" t="str">
        <f t="shared" si="46"/>
        <v/>
      </c>
      <c r="G414" s="47" t="str">
        <f t="shared" si="47"/>
        <v/>
      </c>
      <c r="H414" s="48" t="str">
        <f ca="1" t="shared" si="48"/>
        <v/>
      </c>
      <c r="I414" s="26"/>
    </row>
    <row r="415" ht="36" customHeight="1" spans="1:9">
      <c r="A415" s="42"/>
      <c r="B415" s="43" t="str">
        <f t="shared" si="42"/>
        <v/>
      </c>
      <c r="C415" s="44" t="str">
        <f t="shared" si="43"/>
        <v>[]</v>
      </c>
      <c r="D415" s="45" t="str">
        <f t="shared" si="44"/>
        <v/>
      </c>
      <c r="E415" s="45" t="str">
        <f t="shared" si="45"/>
        <v/>
      </c>
      <c r="F415" s="46" t="str">
        <f t="shared" si="46"/>
        <v/>
      </c>
      <c r="G415" s="47" t="str">
        <f t="shared" si="47"/>
        <v/>
      </c>
      <c r="H415" s="48" t="str">
        <f ca="1" t="shared" si="48"/>
        <v/>
      </c>
      <c r="I415" s="26"/>
    </row>
    <row r="416" ht="36" customHeight="1" spans="1:9">
      <c r="A416" s="42"/>
      <c r="B416" s="43" t="str">
        <f t="shared" si="42"/>
        <v/>
      </c>
      <c r="C416" s="44" t="str">
        <f t="shared" si="43"/>
        <v>[]</v>
      </c>
      <c r="D416" s="45" t="str">
        <f t="shared" si="44"/>
        <v/>
      </c>
      <c r="E416" s="45" t="str">
        <f t="shared" si="45"/>
        <v/>
      </c>
      <c r="F416" s="46" t="str">
        <f t="shared" si="46"/>
        <v/>
      </c>
      <c r="G416" s="47" t="str">
        <f t="shared" si="47"/>
        <v/>
      </c>
      <c r="H416" s="48" t="str">
        <f ca="1" t="shared" si="48"/>
        <v/>
      </c>
      <c r="I416" s="26"/>
    </row>
    <row r="417" ht="36" customHeight="1" spans="1:9">
      <c r="A417" s="42"/>
      <c r="B417" s="43" t="str">
        <f t="shared" si="42"/>
        <v/>
      </c>
      <c r="C417" s="44" t="str">
        <f t="shared" si="43"/>
        <v>[]</v>
      </c>
      <c r="D417" s="45" t="str">
        <f t="shared" si="44"/>
        <v/>
      </c>
      <c r="E417" s="45" t="str">
        <f t="shared" si="45"/>
        <v/>
      </c>
      <c r="F417" s="46" t="str">
        <f t="shared" si="46"/>
        <v/>
      </c>
      <c r="G417" s="47" t="str">
        <f t="shared" si="47"/>
        <v/>
      </c>
      <c r="H417" s="48" t="str">
        <f ca="1" t="shared" si="48"/>
        <v/>
      </c>
      <c r="I417" s="26"/>
    </row>
    <row r="418" ht="36" customHeight="1" spans="1:9">
      <c r="A418" s="42"/>
      <c r="B418" s="43" t="str">
        <f t="shared" si="42"/>
        <v/>
      </c>
      <c r="C418" s="44" t="str">
        <f t="shared" si="43"/>
        <v>[]</v>
      </c>
      <c r="D418" s="45" t="str">
        <f t="shared" si="44"/>
        <v/>
      </c>
      <c r="E418" s="45" t="str">
        <f t="shared" si="45"/>
        <v/>
      </c>
      <c r="F418" s="46" t="str">
        <f t="shared" si="46"/>
        <v/>
      </c>
      <c r="G418" s="47" t="str">
        <f t="shared" si="47"/>
        <v/>
      </c>
      <c r="H418" s="48" t="str">
        <f ca="1" t="shared" si="48"/>
        <v/>
      </c>
      <c r="I418" s="26"/>
    </row>
    <row r="419" ht="36" customHeight="1" spans="1:9">
      <c r="A419" s="42"/>
      <c r="B419" s="43" t="str">
        <f t="shared" si="42"/>
        <v/>
      </c>
      <c r="C419" s="44" t="str">
        <f t="shared" si="43"/>
        <v>[]</v>
      </c>
      <c r="D419" s="45" t="str">
        <f t="shared" si="44"/>
        <v/>
      </c>
      <c r="E419" s="45" t="str">
        <f t="shared" si="45"/>
        <v/>
      </c>
      <c r="F419" s="46" t="str">
        <f t="shared" si="46"/>
        <v/>
      </c>
      <c r="G419" s="47" t="str">
        <f t="shared" si="47"/>
        <v/>
      </c>
      <c r="H419" s="48" t="str">
        <f ca="1" t="shared" si="48"/>
        <v/>
      </c>
      <c r="I419" s="26"/>
    </row>
    <row r="420" ht="36" customHeight="1" spans="1:9">
      <c r="A420" s="42"/>
      <c r="B420" s="43" t="str">
        <f t="shared" si="42"/>
        <v/>
      </c>
      <c r="C420" s="44" t="str">
        <f t="shared" si="43"/>
        <v>[]</v>
      </c>
      <c r="D420" s="45" t="str">
        <f t="shared" si="44"/>
        <v/>
      </c>
      <c r="E420" s="45" t="str">
        <f t="shared" si="45"/>
        <v/>
      </c>
      <c r="F420" s="46" t="str">
        <f t="shared" si="46"/>
        <v/>
      </c>
      <c r="G420" s="47" t="str">
        <f t="shared" si="47"/>
        <v/>
      </c>
      <c r="H420" s="48" t="str">
        <f ca="1" t="shared" si="48"/>
        <v/>
      </c>
      <c r="I420" s="26"/>
    </row>
    <row r="421" ht="36" customHeight="1" spans="1:9">
      <c r="A421" s="42"/>
      <c r="B421" s="43" t="str">
        <f t="shared" si="42"/>
        <v/>
      </c>
      <c r="C421" s="44" t="str">
        <f t="shared" si="43"/>
        <v>[]</v>
      </c>
      <c r="D421" s="45" t="str">
        <f t="shared" si="44"/>
        <v/>
      </c>
      <c r="E421" s="45" t="str">
        <f t="shared" si="45"/>
        <v/>
      </c>
      <c r="F421" s="46" t="str">
        <f t="shared" si="46"/>
        <v/>
      </c>
      <c r="G421" s="47" t="str">
        <f t="shared" si="47"/>
        <v/>
      </c>
      <c r="H421" s="48" t="str">
        <f ca="1" t="shared" si="48"/>
        <v/>
      </c>
      <c r="I421" s="26"/>
    </row>
    <row r="422" ht="36" customHeight="1" spans="1:9">
      <c r="A422" s="42"/>
      <c r="B422" s="43" t="str">
        <f t="shared" si="42"/>
        <v/>
      </c>
      <c r="C422" s="44" t="str">
        <f t="shared" si="43"/>
        <v>[]</v>
      </c>
      <c r="D422" s="45" t="str">
        <f t="shared" si="44"/>
        <v/>
      </c>
      <c r="E422" s="45" t="str">
        <f t="shared" si="45"/>
        <v/>
      </c>
      <c r="F422" s="46" t="str">
        <f t="shared" si="46"/>
        <v/>
      </c>
      <c r="G422" s="47" t="str">
        <f t="shared" si="47"/>
        <v/>
      </c>
      <c r="H422" s="48" t="str">
        <f ca="1" t="shared" si="48"/>
        <v/>
      </c>
      <c r="I422" s="26"/>
    </row>
    <row r="423" ht="36" customHeight="1" spans="1:9">
      <c r="A423" s="42"/>
      <c r="B423" s="43" t="str">
        <f t="shared" si="42"/>
        <v/>
      </c>
      <c r="C423" s="44" t="str">
        <f t="shared" si="43"/>
        <v>[]</v>
      </c>
      <c r="D423" s="45" t="str">
        <f t="shared" si="44"/>
        <v/>
      </c>
      <c r="E423" s="45" t="str">
        <f t="shared" si="45"/>
        <v/>
      </c>
      <c r="F423" s="46" t="str">
        <f t="shared" si="46"/>
        <v/>
      </c>
      <c r="G423" s="47" t="str">
        <f t="shared" si="47"/>
        <v/>
      </c>
      <c r="H423" s="48" t="str">
        <f ca="1" t="shared" si="48"/>
        <v/>
      </c>
      <c r="I423" s="26"/>
    </row>
    <row r="424" ht="36" customHeight="1" spans="1:9">
      <c r="A424" s="42"/>
      <c r="B424" s="43" t="str">
        <f t="shared" si="42"/>
        <v/>
      </c>
      <c r="C424" s="44" t="str">
        <f t="shared" si="43"/>
        <v>[]</v>
      </c>
      <c r="D424" s="45" t="str">
        <f t="shared" si="44"/>
        <v/>
      </c>
      <c r="E424" s="45" t="str">
        <f t="shared" si="45"/>
        <v/>
      </c>
      <c r="F424" s="46" t="str">
        <f t="shared" si="46"/>
        <v/>
      </c>
      <c r="G424" s="47" t="str">
        <f t="shared" si="47"/>
        <v/>
      </c>
      <c r="H424" s="48" t="str">
        <f ca="1" t="shared" si="48"/>
        <v/>
      </c>
      <c r="I424" s="26"/>
    </row>
    <row r="425" ht="36" customHeight="1" spans="1:9">
      <c r="A425" s="42"/>
      <c r="B425" s="43" t="str">
        <f t="shared" si="42"/>
        <v/>
      </c>
      <c r="C425" s="44" t="str">
        <f t="shared" si="43"/>
        <v>[]</v>
      </c>
      <c r="D425" s="45" t="str">
        <f t="shared" si="44"/>
        <v/>
      </c>
      <c r="E425" s="45" t="str">
        <f t="shared" si="45"/>
        <v/>
      </c>
      <c r="F425" s="46" t="str">
        <f t="shared" si="46"/>
        <v/>
      </c>
      <c r="G425" s="47" t="str">
        <f t="shared" si="47"/>
        <v/>
      </c>
      <c r="H425" s="48" t="str">
        <f ca="1" t="shared" si="48"/>
        <v/>
      </c>
      <c r="I425" s="26"/>
    </row>
    <row r="426" ht="36" customHeight="1" spans="1:9">
      <c r="A426" s="42"/>
      <c r="B426" s="43" t="str">
        <f t="shared" si="42"/>
        <v/>
      </c>
      <c r="C426" s="44" t="str">
        <f t="shared" si="43"/>
        <v>[]</v>
      </c>
      <c r="D426" s="45" t="str">
        <f t="shared" si="44"/>
        <v/>
      </c>
      <c r="E426" s="45" t="str">
        <f t="shared" si="45"/>
        <v/>
      </c>
      <c r="F426" s="46" t="str">
        <f t="shared" si="46"/>
        <v/>
      </c>
      <c r="G426" s="47" t="str">
        <f t="shared" si="47"/>
        <v/>
      </c>
      <c r="H426" s="48" t="str">
        <f ca="1" t="shared" si="48"/>
        <v/>
      </c>
      <c r="I426" s="26"/>
    </row>
    <row r="427" ht="36" customHeight="1" spans="1:9">
      <c r="A427" s="42"/>
      <c r="B427" s="43" t="str">
        <f t="shared" si="42"/>
        <v/>
      </c>
      <c r="C427" s="44" t="str">
        <f t="shared" si="43"/>
        <v>[]</v>
      </c>
      <c r="D427" s="45" t="str">
        <f t="shared" si="44"/>
        <v/>
      </c>
      <c r="E427" s="45" t="str">
        <f t="shared" si="45"/>
        <v/>
      </c>
      <c r="F427" s="46" t="str">
        <f t="shared" si="46"/>
        <v/>
      </c>
      <c r="G427" s="47" t="str">
        <f t="shared" si="47"/>
        <v/>
      </c>
      <c r="H427" s="48" t="str">
        <f ca="1" t="shared" si="48"/>
        <v/>
      </c>
      <c r="I427" s="26"/>
    </row>
    <row r="428" ht="36" customHeight="1" spans="1:9">
      <c r="A428" s="42"/>
      <c r="B428" s="43" t="str">
        <f t="shared" si="42"/>
        <v/>
      </c>
      <c r="C428" s="44" t="str">
        <f t="shared" si="43"/>
        <v>[]</v>
      </c>
      <c r="D428" s="45" t="str">
        <f t="shared" si="44"/>
        <v/>
      </c>
      <c r="E428" s="45" t="str">
        <f t="shared" si="45"/>
        <v/>
      </c>
      <c r="F428" s="46" t="str">
        <f t="shared" si="46"/>
        <v/>
      </c>
      <c r="G428" s="47" t="str">
        <f t="shared" si="47"/>
        <v/>
      </c>
      <c r="H428" s="48" t="str">
        <f ca="1" t="shared" si="48"/>
        <v/>
      </c>
      <c r="I428" s="26"/>
    </row>
    <row r="429" ht="36" customHeight="1" spans="1:9">
      <c r="A429" s="42"/>
      <c r="B429" s="43" t="str">
        <f t="shared" si="42"/>
        <v/>
      </c>
      <c r="C429" s="44" t="str">
        <f t="shared" si="43"/>
        <v>[]</v>
      </c>
      <c r="D429" s="45" t="str">
        <f t="shared" si="44"/>
        <v/>
      </c>
      <c r="E429" s="45" t="str">
        <f t="shared" si="45"/>
        <v/>
      </c>
      <c r="F429" s="46" t="str">
        <f t="shared" si="46"/>
        <v/>
      </c>
      <c r="G429" s="47" t="str">
        <f t="shared" si="47"/>
        <v/>
      </c>
      <c r="H429" s="48" t="str">
        <f ca="1" t="shared" si="48"/>
        <v/>
      </c>
      <c r="I429" s="26"/>
    </row>
    <row r="430" ht="36" customHeight="1" spans="1:9">
      <c r="A430" s="42"/>
      <c r="B430" s="43" t="str">
        <f t="shared" si="42"/>
        <v/>
      </c>
      <c r="C430" s="44" t="str">
        <f t="shared" si="43"/>
        <v>[]</v>
      </c>
      <c r="D430" s="45" t="str">
        <f t="shared" si="44"/>
        <v/>
      </c>
      <c r="E430" s="45" t="str">
        <f t="shared" si="45"/>
        <v/>
      </c>
      <c r="F430" s="46" t="str">
        <f t="shared" si="46"/>
        <v/>
      </c>
      <c r="G430" s="47" t="str">
        <f t="shared" si="47"/>
        <v/>
      </c>
      <c r="H430" s="48" t="str">
        <f ca="1" t="shared" si="48"/>
        <v/>
      </c>
      <c r="I430" s="26"/>
    </row>
    <row r="431" ht="36" customHeight="1" spans="1:9">
      <c r="A431" s="42"/>
      <c r="B431" s="43" t="str">
        <f t="shared" si="42"/>
        <v/>
      </c>
      <c r="C431" s="44" t="str">
        <f t="shared" si="43"/>
        <v>[]</v>
      </c>
      <c r="D431" s="45" t="str">
        <f t="shared" si="44"/>
        <v/>
      </c>
      <c r="E431" s="45" t="str">
        <f t="shared" si="45"/>
        <v/>
      </c>
      <c r="F431" s="46" t="str">
        <f t="shared" si="46"/>
        <v/>
      </c>
      <c r="G431" s="47" t="str">
        <f t="shared" si="47"/>
        <v/>
      </c>
      <c r="H431" s="48" t="str">
        <f ca="1" t="shared" si="48"/>
        <v/>
      </c>
      <c r="I431" s="26"/>
    </row>
    <row r="432" ht="36" customHeight="1" spans="1:9">
      <c r="A432" s="42"/>
      <c r="B432" s="43" t="str">
        <f t="shared" si="42"/>
        <v/>
      </c>
      <c r="C432" s="44" t="str">
        <f t="shared" si="43"/>
        <v>[]</v>
      </c>
      <c r="D432" s="45" t="str">
        <f t="shared" si="44"/>
        <v/>
      </c>
      <c r="E432" s="45" t="str">
        <f t="shared" si="45"/>
        <v/>
      </c>
      <c r="F432" s="46" t="str">
        <f t="shared" si="46"/>
        <v/>
      </c>
      <c r="G432" s="47" t="str">
        <f t="shared" si="47"/>
        <v/>
      </c>
      <c r="H432" s="48" t="str">
        <f ca="1" t="shared" si="48"/>
        <v/>
      </c>
      <c r="I432" s="26"/>
    </row>
    <row r="433" ht="36" customHeight="1" spans="1:9">
      <c r="A433" s="42"/>
      <c r="B433" s="43" t="str">
        <f t="shared" si="42"/>
        <v/>
      </c>
      <c r="C433" s="44" t="str">
        <f t="shared" si="43"/>
        <v>[]</v>
      </c>
      <c r="D433" s="45" t="str">
        <f t="shared" si="44"/>
        <v/>
      </c>
      <c r="E433" s="45" t="str">
        <f t="shared" si="45"/>
        <v/>
      </c>
      <c r="F433" s="46" t="str">
        <f t="shared" si="46"/>
        <v/>
      </c>
      <c r="G433" s="47" t="str">
        <f t="shared" si="47"/>
        <v/>
      </c>
      <c r="H433" s="48" t="str">
        <f ca="1" t="shared" si="48"/>
        <v/>
      </c>
      <c r="I433" s="26"/>
    </row>
    <row r="434" ht="36" customHeight="1" spans="1:9">
      <c r="A434" s="42"/>
      <c r="B434" s="43" t="str">
        <f t="shared" si="42"/>
        <v/>
      </c>
      <c r="C434" s="44" t="str">
        <f t="shared" si="43"/>
        <v>[]</v>
      </c>
      <c r="D434" s="45" t="str">
        <f t="shared" si="44"/>
        <v/>
      </c>
      <c r="E434" s="45" t="str">
        <f t="shared" si="45"/>
        <v/>
      </c>
      <c r="F434" s="46" t="str">
        <f t="shared" si="46"/>
        <v/>
      </c>
      <c r="G434" s="47" t="str">
        <f t="shared" si="47"/>
        <v/>
      </c>
      <c r="H434" s="48" t="str">
        <f ca="1" t="shared" si="48"/>
        <v/>
      </c>
      <c r="I434" s="26"/>
    </row>
    <row r="435" ht="36" customHeight="1" spans="1:9">
      <c r="A435" s="42"/>
      <c r="B435" s="43" t="str">
        <f t="shared" si="42"/>
        <v/>
      </c>
      <c r="C435" s="44" t="str">
        <f t="shared" si="43"/>
        <v>[]</v>
      </c>
      <c r="D435" s="45" t="str">
        <f t="shared" si="44"/>
        <v/>
      </c>
      <c r="E435" s="45" t="str">
        <f t="shared" si="45"/>
        <v/>
      </c>
      <c r="F435" s="46" t="str">
        <f t="shared" si="46"/>
        <v/>
      </c>
      <c r="G435" s="47" t="str">
        <f t="shared" si="47"/>
        <v/>
      </c>
      <c r="H435" s="48" t="str">
        <f ca="1" t="shared" si="48"/>
        <v/>
      </c>
      <c r="I435" s="26"/>
    </row>
    <row r="436" ht="36" customHeight="1" spans="1:9">
      <c r="A436" s="42"/>
      <c r="B436" s="43" t="str">
        <f t="shared" si="42"/>
        <v/>
      </c>
      <c r="C436" s="44" t="str">
        <f t="shared" si="43"/>
        <v>[]</v>
      </c>
      <c r="D436" s="45" t="str">
        <f t="shared" si="44"/>
        <v/>
      </c>
      <c r="E436" s="45" t="str">
        <f t="shared" si="45"/>
        <v/>
      </c>
      <c r="F436" s="46" t="str">
        <f t="shared" si="46"/>
        <v/>
      </c>
      <c r="G436" s="47" t="str">
        <f t="shared" si="47"/>
        <v/>
      </c>
      <c r="H436" s="48" t="str">
        <f ca="1" t="shared" si="48"/>
        <v/>
      </c>
      <c r="I436" s="26"/>
    </row>
    <row r="437" ht="36" customHeight="1" spans="1:9">
      <c r="A437" s="42"/>
      <c r="B437" s="43" t="str">
        <f t="shared" si="42"/>
        <v/>
      </c>
      <c r="C437" s="44" t="str">
        <f t="shared" si="43"/>
        <v>[]</v>
      </c>
      <c r="D437" s="45" t="str">
        <f t="shared" si="44"/>
        <v/>
      </c>
      <c r="E437" s="45" t="str">
        <f t="shared" si="45"/>
        <v/>
      </c>
      <c r="F437" s="46" t="str">
        <f t="shared" si="46"/>
        <v/>
      </c>
      <c r="G437" s="47" t="str">
        <f t="shared" si="47"/>
        <v/>
      </c>
      <c r="H437" s="48" t="str">
        <f ca="1" t="shared" si="48"/>
        <v/>
      </c>
      <c r="I437" s="26"/>
    </row>
    <row r="438" ht="36" customHeight="1" spans="1:9">
      <c r="A438" s="42"/>
      <c r="B438" s="43" t="str">
        <f t="shared" si="42"/>
        <v/>
      </c>
      <c r="C438" s="44" t="str">
        <f t="shared" si="43"/>
        <v>[]</v>
      </c>
      <c r="D438" s="45" t="str">
        <f t="shared" si="44"/>
        <v/>
      </c>
      <c r="E438" s="45" t="str">
        <f t="shared" si="45"/>
        <v/>
      </c>
      <c r="F438" s="46" t="str">
        <f t="shared" si="46"/>
        <v/>
      </c>
      <c r="G438" s="47" t="str">
        <f t="shared" si="47"/>
        <v/>
      </c>
      <c r="H438" s="48" t="str">
        <f ca="1" t="shared" si="48"/>
        <v/>
      </c>
      <c r="I438" s="26"/>
    </row>
    <row r="439" ht="36" customHeight="1" spans="1:9">
      <c r="A439" s="42"/>
      <c r="B439" s="43" t="str">
        <f t="shared" si="42"/>
        <v/>
      </c>
      <c r="C439" s="44" t="str">
        <f t="shared" si="43"/>
        <v>[]</v>
      </c>
      <c r="D439" s="45" t="str">
        <f t="shared" si="44"/>
        <v/>
      </c>
      <c r="E439" s="45" t="str">
        <f t="shared" si="45"/>
        <v/>
      </c>
      <c r="F439" s="46" t="str">
        <f t="shared" si="46"/>
        <v/>
      </c>
      <c r="G439" s="47" t="str">
        <f t="shared" si="47"/>
        <v/>
      </c>
      <c r="H439" s="48" t="str">
        <f ca="1" t="shared" si="48"/>
        <v/>
      </c>
      <c r="I439" s="26"/>
    </row>
    <row r="440" ht="36" customHeight="1" spans="1:9">
      <c r="A440" s="42"/>
      <c r="B440" s="43" t="str">
        <f t="shared" si="42"/>
        <v/>
      </c>
      <c r="C440" s="44" t="str">
        <f t="shared" si="43"/>
        <v>[]</v>
      </c>
      <c r="D440" s="45" t="str">
        <f t="shared" si="44"/>
        <v/>
      </c>
      <c r="E440" s="45" t="str">
        <f t="shared" si="45"/>
        <v/>
      </c>
      <c r="F440" s="46" t="str">
        <f t="shared" si="46"/>
        <v/>
      </c>
      <c r="G440" s="47" t="str">
        <f t="shared" si="47"/>
        <v/>
      </c>
      <c r="H440" s="48" t="str">
        <f ca="1" t="shared" si="48"/>
        <v/>
      </c>
      <c r="I440" s="26"/>
    </row>
    <row r="441" ht="36" customHeight="1" spans="1:9">
      <c r="A441" s="42"/>
      <c r="B441" s="43" t="str">
        <f t="shared" si="42"/>
        <v/>
      </c>
      <c r="C441" s="44" t="str">
        <f t="shared" si="43"/>
        <v>[]</v>
      </c>
      <c r="D441" s="45" t="str">
        <f t="shared" si="44"/>
        <v/>
      </c>
      <c r="E441" s="45" t="str">
        <f t="shared" si="45"/>
        <v/>
      </c>
      <c r="F441" s="46" t="str">
        <f t="shared" si="46"/>
        <v/>
      </c>
      <c r="G441" s="47" t="str">
        <f t="shared" si="47"/>
        <v/>
      </c>
      <c r="H441" s="48" t="str">
        <f ca="1" t="shared" si="48"/>
        <v/>
      </c>
      <c r="I441" s="26"/>
    </row>
    <row r="442" ht="36" customHeight="1" spans="1:9">
      <c r="A442" s="42"/>
      <c r="B442" s="43" t="str">
        <f t="shared" si="42"/>
        <v/>
      </c>
      <c r="C442" s="44" t="str">
        <f t="shared" si="43"/>
        <v>[]</v>
      </c>
      <c r="D442" s="45" t="str">
        <f t="shared" si="44"/>
        <v/>
      </c>
      <c r="E442" s="45" t="str">
        <f t="shared" si="45"/>
        <v/>
      </c>
      <c r="F442" s="46" t="str">
        <f t="shared" si="46"/>
        <v/>
      </c>
      <c r="G442" s="47" t="str">
        <f t="shared" si="47"/>
        <v/>
      </c>
      <c r="H442" s="48" t="str">
        <f ca="1" t="shared" si="48"/>
        <v/>
      </c>
      <c r="I442" s="26"/>
    </row>
    <row r="443" ht="36" customHeight="1" spans="1:9">
      <c r="A443" s="42"/>
      <c r="B443" s="43" t="str">
        <f t="shared" si="42"/>
        <v/>
      </c>
      <c r="C443" s="44" t="str">
        <f t="shared" si="43"/>
        <v>[]</v>
      </c>
      <c r="D443" s="45" t="str">
        <f t="shared" si="44"/>
        <v/>
      </c>
      <c r="E443" s="45" t="str">
        <f t="shared" si="45"/>
        <v/>
      </c>
      <c r="F443" s="46" t="str">
        <f t="shared" si="46"/>
        <v/>
      </c>
      <c r="G443" s="47" t="str">
        <f t="shared" si="47"/>
        <v/>
      </c>
      <c r="H443" s="48" t="str">
        <f ca="1" t="shared" si="48"/>
        <v/>
      </c>
      <c r="I443" s="26"/>
    </row>
    <row r="444" ht="36" customHeight="1" spans="1:9">
      <c r="A444" s="42"/>
      <c r="B444" s="43" t="str">
        <f t="shared" si="42"/>
        <v/>
      </c>
      <c r="C444" s="44" t="str">
        <f t="shared" si="43"/>
        <v>[]</v>
      </c>
      <c r="D444" s="45" t="str">
        <f t="shared" si="44"/>
        <v/>
      </c>
      <c r="E444" s="45" t="str">
        <f t="shared" si="45"/>
        <v/>
      </c>
      <c r="F444" s="46" t="str">
        <f t="shared" si="46"/>
        <v/>
      </c>
      <c r="G444" s="47" t="str">
        <f t="shared" si="47"/>
        <v/>
      </c>
      <c r="H444" s="48" t="str">
        <f ca="1" t="shared" si="48"/>
        <v/>
      </c>
      <c r="I444" s="26"/>
    </row>
    <row r="445" ht="36" customHeight="1" spans="1:9">
      <c r="A445" s="42"/>
      <c r="B445" s="43" t="str">
        <f t="shared" si="42"/>
        <v/>
      </c>
      <c r="C445" s="44" t="str">
        <f t="shared" si="43"/>
        <v>[]</v>
      </c>
      <c r="D445" s="45" t="str">
        <f t="shared" si="44"/>
        <v/>
      </c>
      <c r="E445" s="45" t="str">
        <f t="shared" si="45"/>
        <v/>
      </c>
      <c r="F445" s="46" t="str">
        <f t="shared" si="46"/>
        <v/>
      </c>
      <c r="G445" s="47" t="str">
        <f t="shared" si="47"/>
        <v/>
      </c>
      <c r="H445" s="48" t="str">
        <f ca="1" t="shared" si="48"/>
        <v/>
      </c>
      <c r="I445" s="26"/>
    </row>
    <row r="446" ht="36" customHeight="1" spans="1:9">
      <c r="A446" s="42"/>
      <c r="B446" s="43" t="str">
        <f t="shared" si="42"/>
        <v/>
      </c>
      <c r="C446" s="44" t="str">
        <f t="shared" si="43"/>
        <v>[]</v>
      </c>
      <c r="D446" s="45" t="str">
        <f t="shared" si="44"/>
        <v/>
      </c>
      <c r="E446" s="45" t="str">
        <f t="shared" si="45"/>
        <v/>
      </c>
      <c r="F446" s="46" t="str">
        <f t="shared" si="46"/>
        <v/>
      </c>
      <c r="G446" s="47" t="str">
        <f t="shared" si="47"/>
        <v/>
      </c>
      <c r="H446" s="48" t="str">
        <f ca="1" t="shared" si="48"/>
        <v/>
      </c>
      <c r="I446" s="26"/>
    </row>
    <row r="447" ht="36" customHeight="1" spans="1:9">
      <c r="A447" s="42"/>
      <c r="B447" s="43" t="str">
        <f t="shared" si="42"/>
        <v/>
      </c>
      <c r="C447" s="44" t="str">
        <f t="shared" si="43"/>
        <v>[]</v>
      </c>
      <c r="D447" s="45" t="str">
        <f t="shared" si="44"/>
        <v/>
      </c>
      <c r="E447" s="45" t="str">
        <f t="shared" si="45"/>
        <v/>
      </c>
      <c r="F447" s="46" t="str">
        <f t="shared" si="46"/>
        <v/>
      </c>
      <c r="G447" s="47" t="str">
        <f t="shared" si="47"/>
        <v/>
      </c>
      <c r="H447" s="48" t="str">
        <f ca="1" t="shared" si="48"/>
        <v/>
      </c>
      <c r="I447" s="26"/>
    </row>
    <row r="448" ht="36" customHeight="1" spans="1:9">
      <c r="A448" s="42"/>
      <c r="B448" s="43" t="str">
        <f t="shared" si="42"/>
        <v/>
      </c>
      <c r="C448" s="44" t="str">
        <f t="shared" si="43"/>
        <v>[]</v>
      </c>
      <c r="D448" s="45" t="str">
        <f t="shared" si="44"/>
        <v/>
      </c>
      <c r="E448" s="45" t="str">
        <f t="shared" si="45"/>
        <v/>
      </c>
      <c r="F448" s="46" t="str">
        <f t="shared" si="46"/>
        <v/>
      </c>
      <c r="G448" s="47" t="str">
        <f t="shared" si="47"/>
        <v/>
      </c>
      <c r="H448" s="48" t="str">
        <f ca="1" t="shared" si="48"/>
        <v/>
      </c>
      <c r="I448" s="26"/>
    </row>
    <row r="449" ht="36" customHeight="1" spans="1:9">
      <c r="A449" s="42"/>
      <c r="B449" s="43" t="str">
        <f t="shared" ref="B449:B507" si="49">IFERROR("@"&amp;MID(A449,SEARCH("{",A449)+1,SEARCH(",",A449)-SEARCH("{",A449)-1),"")</f>
        <v/>
      </c>
      <c r="C449" s="44" t="str">
        <f t="shared" ref="C449:C507" si="50">"["&amp;B449&amp;"]"</f>
        <v>[]</v>
      </c>
      <c r="D449" s="45" t="str">
        <f t="shared" ref="D449:D499" si="51">IFERROR(MID(A449,SEARCH("year = {",A449)+8,4),"")</f>
        <v/>
      </c>
      <c r="E449" s="45" t="str">
        <f t="shared" ref="E449:E499" si="52">IFERROR(MID(A449,SEARCH("author = {",A449)+10,SEARCH("}",A449,SEARCH("author = {",A449))-SEARCH("author = {",A449)-10),"")</f>
        <v/>
      </c>
      <c r="F449" s="46" t="str">
        <f t="shared" ref="F449:F499" si="53">IFERROR(IF(ISERROR(FIND("title =",A449)),"",MID(A449,FIND("title =",A449)+9,FIND("},",A449,FIND("title =",A449))-FIND("title =",A449)-9)),"")</f>
        <v/>
      </c>
      <c r="G449" s="47" t="str">
        <f t="shared" ref="G449:G499" si="54">IFERROR("https://doi.org/"&amp;MID(A449,SEARCH("doi = {",A449)+7,FIND("}",A449,SEARCH("doi = {",A449))-SEARCH("doi = {",A449)-7),"")</f>
        <v/>
      </c>
      <c r="H449" s="48" t="str">
        <f ca="1" t="shared" ref="H449:H499" si="55">IF(A449&lt;&gt;"",IF(H449&lt;&gt;"",H449,NOW()),"")</f>
        <v/>
      </c>
      <c r="I449" s="26"/>
    </row>
    <row r="450" ht="36" customHeight="1" spans="1:9">
      <c r="A450" s="42"/>
      <c r="B450" s="43" t="str">
        <f t="shared" si="49"/>
        <v/>
      </c>
      <c r="C450" s="44" t="str">
        <f t="shared" si="50"/>
        <v>[]</v>
      </c>
      <c r="D450" s="45" t="str">
        <f t="shared" si="51"/>
        <v/>
      </c>
      <c r="E450" s="45" t="str">
        <f t="shared" si="52"/>
        <v/>
      </c>
      <c r="F450" s="46" t="str">
        <f t="shared" si="53"/>
        <v/>
      </c>
      <c r="G450" s="47" t="str">
        <f t="shared" si="54"/>
        <v/>
      </c>
      <c r="H450" s="48" t="str">
        <f ca="1" t="shared" si="55"/>
        <v/>
      </c>
      <c r="I450" s="26"/>
    </row>
    <row r="451" ht="36" customHeight="1" spans="1:9">
      <c r="A451" s="42"/>
      <c r="B451" s="43" t="str">
        <f t="shared" si="49"/>
        <v/>
      </c>
      <c r="C451" s="44" t="str">
        <f t="shared" si="50"/>
        <v>[]</v>
      </c>
      <c r="D451" s="45" t="str">
        <f t="shared" si="51"/>
        <v/>
      </c>
      <c r="E451" s="45" t="str">
        <f t="shared" si="52"/>
        <v/>
      </c>
      <c r="F451" s="46" t="str">
        <f t="shared" si="53"/>
        <v/>
      </c>
      <c r="G451" s="47" t="str">
        <f t="shared" si="54"/>
        <v/>
      </c>
      <c r="H451" s="48" t="str">
        <f ca="1" t="shared" si="55"/>
        <v/>
      </c>
      <c r="I451" s="26"/>
    </row>
    <row r="452" ht="36" customHeight="1" spans="1:9">
      <c r="A452" s="42"/>
      <c r="B452" s="43" t="str">
        <f t="shared" si="49"/>
        <v/>
      </c>
      <c r="C452" s="44" t="str">
        <f t="shared" si="50"/>
        <v>[]</v>
      </c>
      <c r="D452" s="45" t="str">
        <f t="shared" si="51"/>
        <v/>
      </c>
      <c r="E452" s="45" t="str">
        <f t="shared" si="52"/>
        <v/>
      </c>
      <c r="F452" s="46" t="str">
        <f t="shared" si="53"/>
        <v/>
      </c>
      <c r="G452" s="47" t="str">
        <f t="shared" si="54"/>
        <v/>
      </c>
      <c r="H452" s="48" t="str">
        <f ca="1" t="shared" si="55"/>
        <v/>
      </c>
      <c r="I452" s="26"/>
    </row>
    <row r="453" ht="36" customHeight="1" spans="1:9">
      <c r="A453" s="42"/>
      <c r="B453" s="43" t="str">
        <f t="shared" si="49"/>
        <v/>
      </c>
      <c r="C453" s="44" t="str">
        <f t="shared" si="50"/>
        <v>[]</v>
      </c>
      <c r="D453" s="45" t="str">
        <f t="shared" si="51"/>
        <v/>
      </c>
      <c r="E453" s="45" t="str">
        <f t="shared" si="52"/>
        <v/>
      </c>
      <c r="F453" s="46" t="str">
        <f t="shared" si="53"/>
        <v/>
      </c>
      <c r="G453" s="47" t="str">
        <f t="shared" si="54"/>
        <v/>
      </c>
      <c r="H453" s="48" t="str">
        <f ca="1" t="shared" si="55"/>
        <v/>
      </c>
      <c r="I453" s="26"/>
    </row>
    <row r="454" ht="36" customHeight="1" spans="1:9">
      <c r="A454" s="42"/>
      <c r="B454" s="43" t="str">
        <f t="shared" si="49"/>
        <v/>
      </c>
      <c r="C454" s="44" t="str">
        <f t="shared" si="50"/>
        <v>[]</v>
      </c>
      <c r="D454" s="45" t="str">
        <f t="shared" si="51"/>
        <v/>
      </c>
      <c r="E454" s="45" t="str">
        <f t="shared" si="52"/>
        <v/>
      </c>
      <c r="F454" s="46" t="str">
        <f t="shared" si="53"/>
        <v/>
      </c>
      <c r="G454" s="47" t="str">
        <f t="shared" si="54"/>
        <v/>
      </c>
      <c r="H454" s="48" t="str">
        <f ca="1" t="shared" si="55"/>
        <v/>
      </c>
      <c r="I454" s="26"/>
    </row>
    <row r="455" ht="36" customHeight="1" spans="1:9">
      <c r="A455" s="42"/>
      <c r="B455" s="43" t="str">
        <f t="shared" si="49"/>
        <v/>
      </c>
      <c r="C455" s="44" t="str">
        <f t="shared" si="50"/>
        <v>[]</v>
      </c>
      <c r="D455" s="45" t="str">
        <f t="shared" si="51"/>
        <v/>
      </c>
      <c r="E455" s="45" t="str">
        <f t="shared" si="52"/>
        <v/>
      </c>
      <c r="F455" s="46" t="str">
        <f t="shared" si="53"/>
        <v/>
      </c>
      <c r="G455" s="47" t="str">
        <f t="shared" si="54"/>
        <v/>
      </c>
      <c r="H455" s="48" t="str">
        <f ca="1" t="shared" si="55"/>
        <v/>
      </c>
      <c r="I455" s="26"/>
    </row>
    <row r="456" ht="36" customHeight="1" spans="1:9">
      <c r="A456" s="42"/>
      <c r="B456" s="43" t="str">
        <f t="shared" si="49"/>
        <v/>
      </c>
      <c r="C456" s="44" t="str">
        <f t="shared" si="50"/>
        <v>[]</v>
      </c>
      <c r="D456" s="45" t="str">
        <f t="shared" si="51"/>
        <v/>
      </c>
      <c r="E456" s="45" t="str">
        <f t="shared" si="52"/>
        <v/>
      </c>
      <c r="F456" s="46" t="str">
        <f t="shared" si="53"/>
        <v/>
      </c>
      <c r="G456" s="47" t="str">
        <f t="shared" si="54"/>
        <v/>
      </c>
      <c r="H456" s="48" t="str">
        <f ca="1" t="shared" si="55"/>
        <v/>
      </c>
      <c r="I456" s="26"/>
    </row>
    <row r="457" ht="36" customHeight="1" spans="1:9">
      <c r="A457" s="42"/>
      <c r="B457" s="43" t="str">
        <f t="shared" si="49"/>
        <v/>
      </c>
      <c r="C457" s="44" t="str">
        <f t="shared" si="50"/>
        <v>[]</v>
      </c>
      <c r="D457" s="45" t="str">
        <f t="shared" si="51"/>
        <v/>
      </c>
      <c r="E457" s="45" t="str">
        <f t="shared" si="52"/>
        <v/>
      </c>
      <c r="F457" s="46" t="str">
        <f t="shared" si="53"/>
        <v/>
      </c>
      <c r="G457" s="47" t="str">
        <f t="shared" si="54"/>
        <v/>
      </c>
      <c r="H457" s="48" t="str">
        <f ca="1" t="shared" si="55"/>
        <v/>
      </c>
      <c r="I457" s="26"/>
    </row>
    <row r="458" ht="36" customHeight="1" spans="1:9">
      <c r="A458" s="42"/>
      <c r="B458" s="43" t="str">
        <f t="shared" si="49"/>
        <v/>
      </c>
      <c r="C458" s="44" t="str">
        <f t="shared" si="50"/>
        <v>[]</v>
      </c>
      <c r="D458" s="45" t="str">
        <f t="shared" si="51"/>
        <v/>
      </c>
      <c r="E458" s="45" t="str">
        <f t="shared" si="52"/>
        <v/>
      </c>
      <c r="F458" s="46" t="str">
        <f t="shared" si="53"/>
        <v/>
      </c>
      <c r="G458" s="47" t="str">
        <f t="shared" si="54"/>
        <v/>
      </c>
      <c r="H458" s="48" t="str">
        <f ca="1" t="shared" si="55"/>
        <v/>
      </c>
      <c r="I458" s="26"/>
    </row>
    <row r="459" ht="36" customHeight="1" spans="1:9">
      <c r="A459" s="42"/>
      <c r="B459" s="43" t="str">
        <f t="shared" si="49"/>
        <v/>
      </c>
      <c r="C459" s="44" t="str">
        <f t="shared" si="50"/>
        <v>[]</v>
      </c>
      <c r="D459" s="45" t="str">
        <f t="shared" si="51"/>
        <v/>
      </c>
      <c r="E459" s="45" t="str">
        <f t="shared" si="52"/>
        <v/>
      </c>
      <c r="F459" s="46" t="str">
        <f t="shared" si="53"/>
        <v/>
      </c>
      <c r="G459" s="47" t="str">
        <f t="shared" si="54"/>
        <v/>
      </c>
      <c r="H459" s="48" t="str">
        <f ca="1" t="shared" si="55"/>
        <v/>
      </c>
      <c r="I459" s="26"/>
    </row>
    <row r="460" ht="36" customHeight="1" spans="1:9">
      <c r="A460" s="42"/>
      <c r="B460" s="43" t="str">
        <f t="shared" si="49"/>
        <v/>
      </c>
      <c r="C460" s="44" t="str">
        <f t="shared" si="50"/>
        <v>[]</v>
      </c>
      <c r="D460" s="45" t="str">
        <f t="shared" si="51"/>
        <v/>
      </c>
      <c r="E460" s="45" t="str">
        <f t="shared" si="52"/>
        <v/>
      </c>
      <c r="F460" s="46" t="str">
        <f t="shared" si="53"/>
        <v/>
      </c>
      <c r="G460" s="47" t="str">
        <f t="shared" si="54"/>
        <v/>
      </c>
      <c r="H460" s="48" t="str">
        <f ca="1" t="shared" si="55"/>
        <v/>
      </c>
      <c r="I460" s="26"/>
    </row>
    <row r="461" ht="36" customHeight="1" spans="1:9">
      <c r="A461" s="42"/>
      <c r="B461" s="43" t="str">
        <f t="shared" si="49"/>
        <v/>
      </c>
      <c r="C461" s="44" t="str">
        <f t="shared" si="50"/>
        <v>[]</v>
      </c>
      <c r="D461" s="45" t="str">
        <f t="shared" si="51"/>
        <v/>
      </c>
      <c r="E461" s="45" t="str">
        <f t="shared" si="52"/>
        <v/>
      </c>
      <c r="F461" s="46" t="str">
        <f t="shared" si="53"/>
        <v/>
      </c>
      <c r="G461" s="47" t="str">
        <f t="shared" si="54"/>
        <v/>
      </c>
      <c r="H461" s="48" t="str">
        <f ca="1" t="shared" si="55"/>
        <v/>
      </c>
      <c r="I461" s="26"/>
    </row>
    <row r="462" ht="36" customHeight="1" spans="1:9">
      <c r="A462" s="42"/>
      <c r="B462" s="43" t="str">
        <f t="shared" si="49"/>
        <v/>
      </c>
      <c r="C462" s="44" t="str">
        <f t="shared" si="50"/>
        <v>[]</v>
      </c>
      <c r="D462" s="45" t="str">
        <f t="shared" si="51"/>
        <v/>
      </c>
      <c r="E462" s="45" t="str">
        <f t="shared" si="52"/>
        <v/>
      </c>
      <c r="F462" s="46" t="str">
        <f t="shared" si="53"/>
        <v/>
      </c>
      <c r="G462" s="47" t="str">
        <f t="shared" si="54"/>
        <v/>
      </c>
      <c r="H462" s="48" t="str">
        <f ca="1" t="shared" si="55"/>
        <v/>
      </c>
      <c r="I462" s="26"/>
    </row>
    <row r="463" ht="36" customHeight="1" spans="1:9">
      <c r="A463" s="42"/>
      <c r="B463" s="43" t="str">
        <f t="shared" si="49"/>
        <v/>
      </c>
      <c r="C463" s="44" t="str">
        <f t="shared" si="50"/>
        <v>[]</v>
      </c>
      <c r="D463" s="45" t="str">
        <f t="shared" si="51"/>
        <v/>
      </c>
      <c r="E463" s="45" t="str">
        <f t="shared" si="52"/>
        <v/>
      </c>
      <c r="F463" s="46" t="str">
        <f t="shared" si="53"/>
        <v/>
      </c>
      <c r="G463" s="47" t="str">
        <f t="shared" si="54"/>
        <v/>
      </c>
      <c r="H463" s="48" t="str">
        <f ca="1" t="shared" si="55"/>
        <v/>
      </c>
      <c r="I463" s="26"/>
    </row>
    <row r="464" ht="36" customHeight="1" spans="1:9">
      <c r="A464" s="42"/>
      <c r="B464" s="43" t="str">
        <f t="shared" si="49"/>
        <v/>
      </c>
      <c r="C464" s="44" t="str">
        <f t="shared" si="50"/>
        <v>[]</v>
      </c>
      <c r="D464" s="45" t="str">
        <f t="shared" si="51"/>
        <v/>
      </c>
      <c r="E464" s="45" t="str">
        <f t="shared" si="52"/>
        <v/>
      </c>
      <c r="F464" s="46" t="str">
        <f t="shared" si="53"/>
        <v/>
      </c>
      <c r="G464" s="47" t="str">
        <f t="shared" si="54"/>
        <v/>
      </c>
      <c r="H464" s="48" t="str">
        <f ca="1" t="shared" si="55"/>
        <v/>
      </c>
      <c r="I464" s="26"/>
    </row>
    <row r="465" ht="36" customHeight="1" spans="1:9">
      <c r="A465" s="42"/>
      <c r="B465" s="43" t="str">
        <f t="shared" si="49"/>
        <v/>
      </c>
      <c r="C465" s="44" t="str">
        <f t="shared" si="50"/>
        <v>[]</v>
      </c>
      <c r="D465" s="45" t="str">
        <f t="shared" si="51"/>
        <v/>
      </c>
      <c r="E465" s="45" t="str">
        <f t="shared" si="52"/>
        <v/>
      </c>
      <c r="F465" s="46" t="str">
        <f t="shared" si="53"/>
        <v/>
      </c>
      <c r="G465" s="47" t="str">
        <f t="shared" si="54"/>
        <v/>
      </c>
      <c r="H465" s="48" t="str">
        <f ca="1" t="shared" si="55"/>
        <v/>
      </c>
      <c r="I465" s="26"/>
    </row>
    <row r="466" ht="36" customHeight="1" spans="1:9">
      <c r="A466" s="42"/>
      <c r="B466" s="43" t="str">
        <f t="shared" si="49"/>
        <v/>
      </c>
      <c r="C466" s="44" t="str">
        <f t="shared" si="50"/>
        <v>[]</v>
      </c>
      <c r="D466" s="45" t="str">
        <f t="shared" si="51"/>
        <v/>
      </c>
      <c r="E466" s="45" t="str">
        <f t="shared" si="52"/>
        <v/>
      </c>
      <c r="F466" s="46" t="str">
        <f t="shared" si="53"/>
        <v/>
      </c>
      <c r="G466" s="47" t="str">
        <f t="shared" si="54"/>
        <v/>
      </c>
      <c r="H466" s="48" t="str">
        <f ca="1" t="shared" si="55"/>
        <v/>
      </c>
      <c r="I466" s="26"/>
    </row>
    <row r="467" ht="36" customHeight="1" spans="1:9">
      <c r="A467" s="42"/>
      <c r="B467" s="43" t="str">
        <f t="shared" si="49"/>
        <v/>
      </c>
      <c r="C467" s="44" t="str">
        <f t="shared" si="50"/>
        <v>[]</v>
      </c>
      <c r="D467" s="45" t="str">
        <f t="shared" si="51"/>
        <v/>
      </c>
      <c r="E467" s="45" t="str">
        <f t="shared" si="52"/>
        <v/>
      </c>
      <c r="F467" s="46" t="str">
        <f t="shared" si="53"/>
        <v/>
      </c>
      <c r="G467" s="47" t="str">
        <f t="shared" si="54"/>
        <v/>
      </c>
      <c r="H467" s="48" t="str">
        <f ca="1" t="shared" si="55"/>
        <v/>
      </c>
      <c r="I467" s="26"/>
    </row>
    <row r="468" ht="36" customHeight="1" spans="1:9">
      <c r="A468" s="42"/>
      <c r="B468" s="43" t="str">
        <f t="shared" si="49"/>
        <v/>
      </c>
      <c r="C468" s="44" t="str">
        <f t="shared" si="50"/>
        <v>[]</v>
      </c>
      <c r="D468" s="45" t="str">
        <f t="shared" si="51"/>
        <v/>
      </c>
      <c r="E468" s="45" t="str">
        <f t="shared" si="52"/>
        <v/>
      </c>
      <c r="F468" s="46" t="str">
        <f t="shared" si="53"/>
        <v/>
      </c>
      <c r="G468" s="47" t="str">
        <f t="shared" si="54"/>
        <v/>
      </c>
      <c r="H468" s="48" t="str">
        <f ca="1" t="shared" si="55"/>
        <v/>
      </c>
      <c r="I468" s="26"/>
    </row>
    <row r="469" ht="36" customHeight="1" spans="1:9">
      <c r="A469" s="42"/>
      <c r="B469" s="43" t="str">
        <f t="shared" si="49"/>
        <v/>
      </c>
      <c r="C469" s="44" t="str">
        <f t="shared" si="50"/>
        <v>[]</v>
      </c>
      <c r="D469" s="45" t="str">
        <f t="shared" si="51"/>
        <v/>
      </c>
      <c r="E469" s="45" t="str">
        <f t="shared" si="52"/>
        <v/>
      </c>
      <c r="F469" s="46" t="str">
        <f t="shared" si="53"/>
        <v/>
      </c>
      <c r="G469" s="47" t="str">
        <f t="shared" si="54"/>
        <v/>
      </c>
      <c r="H469" s="48" t="str">
        <f ca="1" t="shared" si="55"/>
        <v/>
      </c>
      <c r="I469" s="26"/>
    </row>
    <row r="470" ht="36" customHeight="1" spans="1:9">
      <c r="A470" s="42"/>
      <c r="B470" s="43" t="str">
        <f t="shared" si="49"/>
        <v/>
      </c>
      <c r="C470" s="44" t="str">
        <f t="shared" si="50"/>
        <v>[]</v>
      </c>
      <c r="D470" s="45" t="str">
        <f t="shared" si="51"/>
        <v/>
      </c>
      <c r="E470" s="45" t="str">
        <f t="shared" si="52"/>
        <v/>
      </c>
      <c r="F470" s="46" t="str">
        <f t="shared" si="53"/>
        <v/>
      </c>
      <c r="G470" s="47" t="str">
        <f t="shared" si="54"/>
        <v/>
      </c>
      <c r="H470" s="48" t="str">
        <f ca="1" t="shared" si="55"/>
        <v/>
      </c>
      <c r="I470" s="26"/>
    </row>
    <row r="471" ht="36" customHeight="1" spans="1:9">
      <c r="A471" s="42"/>
      <c r="B471" s="43" t="str">
        <f t="shared" si="49"/>
        <v/>
      </c>
      <c r="C471" s="44" t="str">
        <f t="shared" si="50"/>
        <v>[]</v>
      </c>
      <c r="D471" s="45" t="str">
        <f t="shared" si="51"/>
        <v/>
      </c>
      <c r="E471" s="45" t="str">
        <f t="shared" si="52"/>
        <v/>
      </c>
      <c r="F471" s="46" t="str">
        <f t="shared" si="53"/>
        <v/>
      </c>
      <c r="G471" s="47" t="str">
        <f t="shared" si="54"/>
        <v/>
      </c>
      <c r="H471" s="48" t="str">
        <f ca="1" t="shared" si="55"/>
        <v/>
      </c>
      <c r="I471" s="26"/>
    </row>
    <row r="472" ht="36" customHeight="1" spans="1:9">
      <c r="A472" s="42"/>
      <c r="B472" s="43" t="str">
        <f t="shared" si="49"/>
        <v/>
      </c>
      <c r="C472" s="44" t="str">
        <f t="shared" si="50"/>
        <v>[]</v>
      </c>
      <c r="D472" s="45" t="str">
        <f t="shared" si="51"/>
        <v/>
      </c>
      <c r="E472" s="45" t="str">
        <f t="shared" si="52"/>
        <v/>
      </c>
      <c r="F472" s="46" t="str">
        <f t="shared" si="53"/>
        <v/>
      </c>
      <c r="G472" s="47" t="str">
        <f t="shared" si="54"/>
        <v/>
      </c>
      <c r="H472" s="48" t="str">
        <f ca="1" t="shared" si="55"/>
        <v/>
      </c>
      <c r="I472" s="26"/>
    </row>
    <row r="473" ht="36" customHeight="1" spans="1:9">
      <c r="A473" s="42"/>
      <c r="B473" s="43" t="str">
        <f t="shared" si="49"/>
        <v/>
      </c>
      <c r="C473" s="44" t="str">
        <f t="shared" si="50"/>
        <v>[]</v>
      </c>
      <c r="D473" s="45" t="str">
        <f t="shared" si="51"/>
        <v/>
      </c>
      <c r="E473" s="45" t="str">
        <f t="shared" si="52"/>
        <v/>
      </c>
      <c r="F473" s="46" t="str">
        <f t="shared" si="53"/>
        <v/>
      </c>
      <c r="G473" s="47" t="str">
        <f t="shared" si="54"/>
        <v/>
      </c>
      <c r="H473" s="48" t="str">
        <f ca="1" t="shared" si="55"/>
        <v/>
      </c>
      <c r="I473" s="26"/>
    </row>
    <row r="474" ht="36" customHeight="1" spans="1:9">
      <c r="A474" s="42"/>
      <c r="B474" s="43" t="str">
        <f t="shared" si="49"/>
        <v/>
      </c>
      <c r="C474" s="44" t="str">
        <f t="shared" si="50"/>
        <v>[]</v>
      </c>
      <c r="D474" s="45" t="str">
        <f t="shared" si="51"/>
        <v/>
      </c>
      <c r="E474" s="45" t="str">
        <f t="shared" si="52"/>
        <v/>
      </c>
      <c r="F474" s="46" t="str">
        <f t="shared" si="53"/>
        <v/>
      </c>
      <c r="G474" s="47" t="str">
        <f t="shared" si="54"/>
        <v/>
      </c>
      <c r="H474" s="48" t="str">
        <f ca="1" t="shared" si="55"/>
        <v/>
      </c>
      <c r="I474" s="26"/>
    </row>
    <row r="475" ht="36" customHeight="1" spans="1:9">
      <c r="A475" s="42"/>
      <c r="B475" s="43" t="str">
        <f t="shared" si="49"/>
        <v/>
      </c>
      <c r="C475" s="44" t="str">
        <f t="shared" si="50"/>
        <v>[]</v>
      </c>
      <c r="D475" s="45" t="str">
        <f t="shared" si="51"/>
        <v/>
      </c>
      <c r="E475" s="45" t="str">
        <f t="shared" si="52"/>
        <v/>
      </c>
      <c r="F475" s="46" t="str">
        <f t="shared" si="53"/>
        <v/>
      </c>
      <c r="G475" s="47" t="str">
        <f t="shared" si="54"/>
        <v/>
      </c>
      <c r="H475" s="48" t="str">
        <f ca="1" t="shared" si="55"/>
        <v/>
      </c>
      <c r="I475" s="26"/>
    </row>
    <row r="476" ht="36" customHeight="1" spans="1:9">
      <c r="A476" s="42"/>
      <c r="B476" s="43" t="str">
        <f t="shared" si="49"/>
        <v/>
      </c>
      <c r="C476" s="44" t="str">
        <f t="shared" si="50"/>
        <v>[]</v>
      </c>
      <c r="D476" s="45" t="str">
        <f t="shared" si="51"/>
        <v/>
      </c>
      <c r="E476" s="45" t="str">
        <f t="shared" si="52"/>
        <v/>
      </c>
      <c r="F476" s="46" t="str">
        <f t="shared" si="53"/>
        <v/>
      </c>
      <c r="G476" s="47" t="str">
        <f t="shared" si="54"/>
        <v/>
      </c>
      <c r="H476" s="48" t="str">
        <f ca="1" t="shared" si="55"/>
        <v/>
      </c>
      <c r="I476" s="26"/>
    </row>
    <row r="477" ht="36" customHeight="1" spans="1:9">
      <c r="A477" s="42"/>
      <c r="B477" s="43" t="str">
        <f t="shared" si="49"/>
        <v/>
      </c>
      <c r="C477" s="44" t="str">
        <f t="shared" si="50"/>
        <v>[]</v>
      </c>
      <c r="D477" s="45" t="str">
        <f t="shared" si="51"/>
        <v/>
      </c>
      <c r="E477" s="45" t="str">
        <f t="shared" si="52"/>
        <v/>
      </c>
      <c r="F477" s="46" t="str">
        <f t="shared" si="53"/>
        <v/>
      </c>
      <c r="G477" s="47" t="str">
        <f t="shared" si="54"/>
        <v/>
      </c>
      <c r="H477" s="48" t="str">
        <f ca="1" t="shared" si="55"/>
        <v/>
      </c>
      <c r="I477" s="26"/>
    </row>
    <row r="478" ht="36" customHeight="1" spans="1:9">
      <c r="A478" s="42"/>
      <c r="B478" s="43" t="str">
        <f t="shared" si="49"/>
        <v/>
      </c>
      <c r="C478" s="44" t="str">
        <f t="shared" si="50"/>
        <v>[]</v>
      </c>
      <c r="D478" s="45" t="str">
        <f t="shared" si="51"/>
        <v/>
      </c>
      <c r="E478" s="45" t="str">
        <f t="shared" si="52"/>
        <v/>
      </c>
      <c r="F478" s="46" t="str">
        <f t="shared" si="53"/>
        <v/>
      </c>
      <c r="G478" s="47" t="str">
        <f t="shared" si="54"/>
        <v/>
      </c>
      <c r="H478" s="48" t="str">
        <f ca="1" t="shared" si="55"/>
        <v/>
      </c>
      <c r="I478" s="26"/>
    </row>
    <row r="479" ht="36" customHeight="1" spans="1:9">
      <c r="A479" s="42"/>
      <c r="B479" s="43" t="str">
        <f t="shared" si="49"/>
        <v/>
      </c>
      <c r="C479" s="44" t="str">
        <f t="shared" si="50"/>
        <v>[]</v>
      </c>
      <c r="D479" s="45" t="str">
        <f t="shared" si="51"/>
        <v/>
      </c>
      <c r="E479" s="45" t="str">
        <f t="shared" si="52"/>
        <v/>
      </c>
      <c r="F479" s="46" t="str">
        <f t="shared" si="53"/>
        <v/>
      </c>
      <c r="G479" s="47" t="str">
        <f t="shared" si="54"/>
        <v/>
      </c>
      <c r="H479" s="48" t="str">
        <f ca="1" t="shared" si="55"/>
        <v/>
      </c>
      <c r="I479" s="26"/>
    </row>
    <row r="480" ht="36" customHeight="1" spans="1:9">
      <c r="A480" s="42"/>
      <c r="B480" s="43" t="str">
        <f t="shared" si="49"/>
        <v/>
      </c>
      <c r="C480" s="44" t="str">
        <f t="shared" si="50"/>
        <v>[]</v>
      </c>
      <c r="D480" s="45" t="str">
        <f t="shared" si="51"/>
        <v/>
      </c>
      <c r="E480" s="45" t="str">
        <f t="shared" si="52"/>
        <v/>
      </c>
      <c r="F480" s="46" t="str">
        <f t="shared" si="53"/>
        <v/>
      </c>
      <c r="G480" s="47" t="str">
        <f t="shared" si="54"/>
        <v/>
      </c>
      <c r="H480" s="48" t="str">
        <f ca="1" t="shared" si="55"/>
        <v/>
      </c>
      <c r="I480" s="26"/>
    </row>
    <row r="481" ht="36" customHeight="1" spans="1:9">
      <c r="A481" s="42"/>
      <c r="B481" s="43" t="str">
        <f t="shared" si="49"/>
        <v/>
      </c>
      <c r="C481" s="44" t="str">
        <f t="shared" si="50"/>
        <v>[]</v>
      </c>
      <c r="D481" s="45" t="str">
        <f t="shared" si="51"/>
        <v/>
      </c>
      <c r="E481" s="45" t="str">
        <f t="shared" si="52"/>
        <v/>
      </c>
      <c r="F481" s="46" t="str">
        <f t="shared" si="53"/>
        <v/>
      </c>
      <c r="G481" s="47" t="str">
        <f t="shared" si="54"/>
        <v/>
      </c>
      <c r="H481" s="48" t="str">
        <f ca="1" t="shared" si="55"/>
        <v/>
      </c>
      <c r="I481" s="26"/>
    </row>
    <row r="482" ht="36" customHeight="1" spans="1:9">
      <c r="A482" s="42"/>
      <c r="B482" s="43" t="str">
        <f t="shared" si="49"/>
        <v/>
      </c>
      <c r="C482" s="44" t="str">
        <f t="shared" si="50"/>
        <v>[]</v>
      </c>
      <c r="D482" s="45" t="str">
        <f t="shared" si="51"/>
        <v/>
      </c>
      <c r="E482" s="45" t="str">
        <f t="shared" si="52"/>
        <v/>
      </c>
      <c r="F482" s="46" t="str">
        <f t="shared" si="53"/>
        <v/>
      </c>
      <c r="G482" s="47" t="str">
        <f t="shared" si="54"/>
        <v/>
      </c>
      <c r="H482" s="48" t="str">
        <f ca="1" t="shared" si="55"/>
        <v/>
      </c>
      <c r="I482" s="26"/>
    </row>
    <row r="483" ht="36" customHeight="1" spans="1:9">
      <c r="A483" s="42"/>
      <c r="B483" s="43" t="str">
        <f t="shared" si="49"/>
        <v/>
      </c>
      <c r="C483" s="44" t="str">
        <f t="shared" si="50"/>
        <v>[]</v>
      </c>
      <c r="D483" s="45" t="str">
        <f t="shared" si="51"/>
        <v/>
      </c>
      <c r="E483" s="45" t="str">
        <f t="shared" si="52"/>
        <v/>
      </c>
      <c r="F483" s="46" t="str">
        <f t="shared" si="53"/>
        <v/>
      </c>
      <c r="G483" s="47" t="str">
        <f t="shared" si="54"/>
        <v/>
      </c>
      <c r="H483" s="48" t="str">
        <f ca="1" t="shared" si="55"/>
        <v/>
      </c>
      <c r="I483" s="26"/>
    </row>
    <row r="484" ht="36" customHeight="1" spans="1:9">
      <c r="A484" s="42"/>
      <c r="B484" s="43" t="str">
        <f t="shared" si="49"/>
        <v/>
      </c>
      <c r="C484" s="44" t="str">
        <f t="shared" si="50"/>
        <v>[]</v>
      </c>
      <c r="D484" s="45" t="str">
        <f t="shared" si="51"/>
        <v/>
      </c>
      <c r="E484" s="45" t="str">
        <f t="shared" si="52"/>
        <v/>
      </c>
      <c r="F484" s="46" t="str">
        <f t="shared" si="53"/>
        <v/>
      </c>
      <c r="G484" s="47" t="str">
        <f t="shared" si="54"/>
        <v/>
      </c>
      <c r="H484" s="48" t="str">
        <f ca="1" t="shared" si="55"/>
        <v/>
      </c>
      <c r="I484" s="26"/>
    </row>
    <row r="485" ht="36" customHeight="1" spans="1:9">
      <c r="A485" s="42"/>
      <c r="B485" s="43" t="str">
        <f t="shared" si="49"/>
        <v/>
      </c>
      <c r="C485" s="44" t="str">
        <f t="shared" si="50"/>
        <v>[]</v>
      </c>
      <c r="D485" s="45" t="str">
        <f t="shared" si="51"/>
        <v/>
      </c>
      <c r="E485" s="45" t="str">
        <f t="shared" si="52"/>
        <v/>
      </c>
      <c r="F485" s="46" t="str">
        <f t="shared" si="53"/>
        <v/>
      </c>
      <c r="G485" s="47" t="str">
        <f t="shared" si="54"/>
        <v/>
      </c>
      <c r="H485" s="48" t="str">
        <f ca="1" t="shared" si="55"/>
        <v/>
      </c>
      <c r="I485" s="26"/>
    </row>
    <row r="486" ht="36" customHeight="1" spans="1:9">
      <c r="A486" s="42"/>
      <c r="B486" s="43" t="str">
        <f t="shared" si="49"/>
        <v/>
      </c>
      <c r="C486" s="44" t="str">
        <f t="shared" si="50"/>
        <v>[]</v>
      </c>
      <c r="D486" s="45" t="str">
        <f t="shared" si="51"/>
        <v/>
      </c>
      <c r="E486" s="45" t="str">
        <f t="shared" si="52"/>
        <v/>
      </c>
      <c r="F486" s="46" t="str">
        <f t="shared" si="53"/>
        <v/>
      </c>
      <c r="G486" s="47" t="str">
        <f t="shared" si="54"/>
        <v/>
      </c>
      <c r="H486" s="48" t="str">
        <f ca="1" t="shared" si="55"/>
        <v/>
      </c>
      <c r="I486" s="26"/>
    </row>
    <row r="487" ht="36" customHeight="1" spans="1:9">
      <c r="A487" s="42"/>
      <c r="B487" s="43" t="str">
        <f t="shared" si="49"/>
        <v/>
      </c>
      <c r="C487" s="44" t="str">
        <f t="shared" si="50"/>
        <v>[]</v>
      </c>
      <c r="D487" s="45" t="str">
        <f t="shared" si="51"/>
        <v/>
      </c>
      <c r="E487" s="45" t="str">
        <f t="shared" si="52"/>
        <v/>
      </c>
      <c r="F487" s="46" t="str">
        <f t="shared" si="53"/>
        <v/>
      </c>
      <c r="G487" s="47" t="str">
        <f t="shared" si="54"/>
        <v/>
      </c>
      <c r="H487" s="48" t="str">
        <f ca="1" t="shared" si="55"/>
        <v/>
      </c>
      <c r="I487" s="26"/>
    </row>
    <row r="488" ht="36" customHeight="1" spans="1:9">
      <c r="A488" s="42"/>
      <c r="B488" s="43" t="str">
        <f t="shared" si="49"/>
        <v/>
      </c>
      <c r="C488" s="44" t="str">
        <f t="shared" si="50"/>
        <v>[]</v>
      </c>
      <c r="D488" s="45" t="str">
        <f t="shared" si="51"/>
        <v/>
      </c>
      <c r="E488" s="45" t="str">
        <f t="shared" si="52"/>
        <v/>
      </c>
      <c r="F488" s="46" t="str">
        <f t="shared" si="53"/>
        <v/>
      </c>
      <c r="G488" s="47" t="str">
        <f t="shared" si="54"/>
        <v/>
      </c>
      <c r="H488" s="48" t="str">
        <f ca="1" t="shared" si="55"/>
        <v/>
      </c>
      <c r="I488" s="26"/>
    </row>
    <row r="489" ht="36" customHeight="1" spans="1:9">
      <c r="A489" s="42"/>
      <c r="B489" s="43" t="str">
        <f t="shared" si="49"/>
        <v/>
      </c>
      <c r="C489" s="44" t="str">
        <f t="shared" si="50"/>
        <v>[]</v>
      </c>
      <c r="D489" s="45" t="str">
        <f t="shared" si="51"/>
        <v/>
      </c>
      <c r="E489" s="45" t="str">
        <f t="shared" si="52"/>
        <v/>
      </c>
      <c r="F489" s="46" t="str">
        <f t="shared" si="53"/>
        <v/>
      </c>
      <c r="G489" s="47" t="str">
        <f t="shared" si="54"/>
        <v/>
      </c>
      <c r="H489" s="48" t="str">
        <f ca="1" t="shared" si="55"/>
        <v/>
      </c>
      <c r="I489" s="26"/>
    </row>
    <row r="490" ht="36" customHeight="1" spans="1:9">
      <c r="A490" s="42"/>
      <c r="B490" s="43" t="str">
        <f t="shared" si="49"/>
        <v/>
      </c>
      <c r="C490" s="44" t="str">
        <f t="shared" si="50"/>
        <v>[]</v>
      </c>
      <c r="D490" s="45" t="str">
        <f t="shared" si="51"/>
        <v/>
      </c>
      <c r="E490" s="45" t="str">
        <f t="shared" si="52"/>
        <v/>
      </c>
      <c r="F490" s="46" t="str">
        <f t="shared" si="53"/>
        <v/>
      </c>
      <c r="G490" s="47" t="str">
        <f t="shared" si="54"/>
        <v/>
      </c>
      <c r="H490" s="48" t="str">
        <f ca="1" t="shared" si="55"/>
        <v/>
      </c>
      <c r="I490" s="26"/>
    </row>
    <row r="491" ht="36" customHeight="1" spans="1:9">
      <c r="A491" s="42"/>
      <c r="B491" s="43" t="str">
        <f t="shared" si="49"/>
        <v/>
      </c>
      <c r="C491" s="44" t="str">
        <f t="shared" si="50"/>
        <v>[]</v>
      </c>
      <c r="D491" s="45" t="str">
        <f t="shared" si="51"/>
        <v/>
      </c>
      <c r="E491" s="45" t="str">
        <f t="shared" si="52"/>
        <v/>
      </c>
      <c r="F491" s="46" t="str">
        <f t="shared" si="53"/>
        <v/>
      </c>
      <c r="G491" s="47" t="str">
        <f t="shared" si="54"/>
        <v/>
      </c>
      <c r="H491" s="48" t="str">
        <f ca="1" t="shared" si="55"/>
        <v/>
      </c>
      <c r="I491" s="26"/>
    </row>
    <row r="492" ht="36" customHeight="1" spans="1:9">
      <c r="A492" s="42"/>
      <c r="B492" s="43" t="str">
        <f t="shared" si="49"/>
        <v/>
      </c>
      <c r="C492" s="44" t="str">
        <f t="shared" si="50"/>
        <v>[]</v>
      </c>
      <c r="D492" s="45" t="str">
        <f t="shared" si="51"/>
        <v/>
      </c>
      <c r="E492" s="45" t="str">
        <f t="shared" si="52"/>
        <v/>
      </c>
      <c r="F492" s="46" t="str">
        <f t="shared" si="53"/>
        <v/>
      </c>
      <c r="G492" s="47" t="str">
        <f t="shared" si="54"/>
        <v/>
      </c>
      <c r="H492" s="48" t="str">
        <f ca="1" t="shared" si="55"/>
        <v/>
      </c>
      <c r="I492" s="26"/>
    </row>
    <row r="493" ht="36" customHeight="1" spans="1:9">
      <c r="A493" s="42"/>
      <c r="B493" s="43" t="str">
        <f t="shared" si="49"/>
        <v/>
      </c>
      <c r="C493" s="44" t="str">
        <f t="shared" si="50"/>
        <v>[]</v>
      </c>
      <c r="D493" s="45" t="str">
        <f t="shared" si="51"/>
        <v/>
      </c>
      <c r="E493" s="45" t="str">
        <f t="shared" si="52"/>
        <v/>
      </c>
      <c r="F493" s="46" t="str">
        <f t="shared" si="53"/>
        <v/>
      </c>
      <c r="G493" s="47" t="str">
        <f t="shared" si="54"/>
        <v/>
      </c>
      <c r="H493" s="48" t="str">
        <f ca="1" t="shared" si="55"/>
        <v/>
      </c>
      <c r="I493" s="26"/>
    </row>
    <row r="494" ht="36" customHeight="1" spans="1:9">
      <c r="A494" s="42"/>
      <c r="B494" s="43" t="str">
        <f t="shared" si="49"/>
        <v/>
      </c>
      <c r="C494" s="44" t="str">
        <f t="shared" si="50"/>
        <v>[]</v>
      </c>
      <c r="D494" s="45" t="str">
        <f t="shared" si="51"/>
        <v/>
      </c>
      <c r="E494" s="45" t="str">
        <f t="shared" si="52"/>
        <v/>
      </c>
      <c r="F494" s="46" t="str">
        <f t="shared" si="53"/>
        <v/>
      </c>
      <c r="G494" s="47" t="str">
        <f t="shared" si="54"/>
        <v/>
      </c>
      <c r="H494" s="48" t="str">
        <f ca="1" t="shared" si="55"/>
        <v/>
      </c>
      <c r="I494" s="26"/>
    </row>
    <row r="495" ht="36" customHeight="1" spans="1:9">
      <c r="A495" s="42"/>
      <c r="B495" s="43" t="str">
        <f t="shared" si="49"/>
        <v/>
      </c>
      <c r="C495" s="44" t="str">
        <f t="shared" si="50"/>
        <v>[]</v>
      </c>
      <c r="D495" s="45" t="str">
        <f t="shared" si="51"/>
        <v/>
      </c>
      <c r="E495" s="45" t="str">
        <f t="shared" si="52"/>
        <v/>
      </c>
      <c r="F495" s="46" t="str">
        <f t="shared" si="53"/>
        <v/>
      </c>
      <c r="G495" s="47" t="str">
        <f t="shared" si="54"/>
        <v/>
      </c>
      <c r="H495" s="48" t="str">
        <f ca="1" t="shared" si="55"/>
        <v/>
      </c>
      <c r="I495" s="26"/>
    </row>
    <row r="496" ht="36" customHeight="1" spans="1:9">
      <c r="A496" s="42"/>
      <c r="B496" s="43" t="str">
        <f t="shared" si="49"/>
        <v/>
      </c>
      <c r="C496" s="44" t="str">
        <f t="shared" si="50"/>
        <v>[]</v>
      </c>
      <c r="D496" s="45" t="str">
        <f t="shared" si="51"/>
        <v/>
      </c>
      <c r="E496" s="45" t="str">
        <f t="shared" si="52"/>
        <v/>
      </c>
      <c r="F496" s="46" t="str">
        <f t="shared" si="53"/>
        <v/>
      </c>
      <c r="G496" s="47" t="str">
        <f t="shared" si="54"/>
        <v/>
      </c>
      <c r="H496" s="48" t="str">
        <f ca="1" t="shared" si="55"/>
        <v/>
      </c>
      <c r="I496" s="26"/>
    </row>
    <row r="497" ht="36" customHeight="1" spans="1:9">
      <c r="A497" s="42"/>
      <c r="B497" s="43" t="str">
        <f t="shared" si="49"/>
        <v/>
      </c>
      <c r="C497" s="44" t="str">
        <f t="shared" si="50"/>
        <v>[]</v>
      </c>
      <c r="D497" s="45" t="str">
        <f t="shared" si="51"/>
        <v/>
      </c>
      <c r="E497" s="45" t="str">
        <f t="shared" si="52"/>
        <v/>
      </c>
      <c r="F497" s="46" t="str">
        <f t="shared" si="53"/>
        <v/>
      </c>
      <c r="G497" s="47" t="str">
        <f t="shared" si="54"/>
        <v/>
      </c>
      <c r="H497" s="48" t="str">
        <f ca="1" t="shared" si="55"/>
        <v/>
      </c>
      <c r="I497" s="26"/>
    </row>
    <row r="498" ht="36" customHeight="1" spans="1:9">
      <c r="A498" s="42"/>
      <c r="B498" s="43" t="str">
        <f t="shared" si="49"/>
        <v/>
      </c>
      <c r="C498" s="44" t="str">
        <f t="shared" si="50"/>
        <v>[]</v>
      </c>
      <c r="D498" s="45" t="str">
        <f t="shared" si="51"/>
        <v/>
      </c>
      <c r="E498" s="45" t="str">
        <f t="shared" si="52"/>
        <v/>
      </c>
      <c r="F498" s="46" t="str">
        <f t="shared" si="53"/>
        <v/>
      </c>
      <c r="G498" s="47" t="str">
        <f t="shared" si="54"/>
        <v/>
      </c>
      <c r="H498" s="48" t="str">
        <f ca="1" t="shared" si="55"/>
        <v/>
      </c>
      <c r="I498" s="26"/>
    </row>
    <row r="499" ht="36" customHeight="1" spans="1:9">
      <c r="A499" s="42"/>
      <c r="B499" s="43" t="str">
        <f t="shared" si="49"/>
        <v/>
      </c>
      <c r="C499" s="44" t="str">
        <f t="shared" si="50"/>
        <v>[]</v>
      </c>
      <c r="D499" s="45" t="str">
        <f t="shared" si="51"/>
        <v/>
      </c>
      <c r="E499" s="45" t="str">
        <f t="shared" si="52"/>
        <v/>
      </c>
      <c r="F499" s="46" t="str">
        <f t="shared" si="53"/>
        <v/>
      </c>
      <c r="G499" s="47" t="str">
        <f t="shared" si="54"/>
        <v/>
      </c>
      <c r="H499" s="48" t="str">
        <f ca="1" t="shared" si="55"/>
        <v/>
      </c>
      <c r="I499" s="26"/>
    </row>
    <row r="500" ht="36" customHeight="1" spans="1:9">
      <c r="B500" s="43" t="str">
        <f t="shared" si="49"/>
        <v/>
      </c>
      <c r="C500" s="44" t="str">
        <f t="shared" si="50"/>
        <v>[]</v>
      </c>
      <c r="D500" s="45" t="str">
        <f t="shared" ref="D500:D507" si="56">IFERROR(MID(A500,SEARCH("year = {",A500)+8,4),"")</f>
        <v/>
      </c>
      <c r="E500" s="45" t="str">
        <f t="shared" ref="E500:E507" si="57">IFERROR(MID(A500,SEARCH("author = {",A500)+10,SEARCH("}",A500,SEARCH("author = {",A500))-SEARCH("author = {",A500)-10),"")</f>
        <v/>
      </c>
      <c r="F500" s="46" t="str">
        <f t="shared" ref="F500:F507" si="58">IFERROR(MID(A500,SEARCH("title = {",A500)+9,SEARCH("}",A500,SEARCH("title = {",A500))-SEARCH("title = {",A500)-9),"")</f>
        <v/>
      </c>
    </row>
    <row r="501" ht="36" customHeight="1" spans="1:9">
      <c r="B501" s="43" t="str">
        <f t="shared" si="49"/>
        <v/>
      </c>
      <c r="C501" s="44" t="str">
        <f t="shared" si="50"/>
        <v>[]</v>
      </c>
      <c r="D501" s="45" t="str">
        <f t="shared" si="56"/>
        <v/>
      </c>
      <c r="E501" s="45" t="str">
        <f t="shared" si="57"/>
        <v/>
      </c>
      <c r="F501" s="46" t="str">
        <f t="shared" si="58"/>
        <v/>
      </c>
    </row>
    <row r="502" ht="36" customHeight="1" spans="1:9">
      <c r="B502" s="43" t="str">
        <f t="shared" si="49"/>
        <v/>
      </c>
      <c r="C502" s="44" t="str">
        <f t="shared" si="50"/>
        <v>[]</v>
      </c>
      <c r="D502" s="45" t="str">
        <f t="shared" si="56"/>
        <v/>
      </c>
      <c r="E502" s="45" t="str">
        <f t="shared" si="57"/>
        <v/>
      </c>
      <c r="F502" s="46" t="str">
        <f t="shared" si="58"/>
        <v/>
      </c>
    </row>
    <row r="503" ht="36" customHeight="1" spans="1:9">
      <c r="B503" s="43" t="str">
        <f t="shared" si="49"/>
        <v/>
      </c>
      <c r="C503" s="44" t="str">
        <f t="shared" si="50"/>
        <v>[]</v>
      </c>
      <c r="D503" s="45" t="str">
        <f t="shared" si="56"/>
        <v/>
      </c>
      <c r="E503" s="45" t="str">
        <f t="shared" si="57"/>
        <v/>
      </c>
      <c r="F503" s="46" t="str">
        <f t="shared" si="58"/>
        <v/>
      </c>
    </row>
    <row r="504" ht="36" customHeight="1" spans="1:9">
      <c r="B504" s="43" t="str">
        <f t="shared" si="49"/>
        <v/>
      </c>
      <c r="C504" s="44" t="str">
        <f t="shared" si="50"/>
        <v>[]</v>
      </c>
      <c r="D504" s="45" t="str">
        <f t="shared" si="56"/>
        <v/>
      </c>
      <c r="E504" s="45" t="str">
        <f t="shared" si="57"/>
        <v/>
      </c>
      <c r="F504" s="46" t="str">
        <f t="shared" si="58"/>
        <v/>
      </c>
    </row>
    <row r="505" ht="36" customHeight="1" spans="1:9">
      <c r="B505" s="43" t="str">
        <f t="shared" si="49"/>
        <v/>
      </c>
      <c r="C505" s="44" t="str">
        <f t="shared" si="50"/>
        <v>[]</v>
      </c>
      <c r="D505" s="45" t="str">
        <f t="shared" si="56"/>
        <v/>
      </c>
      <c r="E505" s="45" t="str">
        <f t="shared" si="57"/>
        <v/>
      </c>
      <c r="F505" s="46" t="str">
        <f t="shared" si="58"/>
        <v/>
      </c>
    </row>
    <row r="506" ht="36" customHeight="1" spans="1:9">
      <c r="B506" s="43" t="str">
        <f t="shared" si="49"/>
        <v/>
      </c>
      <c r="C506" s="44" t="str">
        <f t="shared" si="50"/>
        <v>[]</v>
      </c>
      <c r="D506" s="45" t="str">
        <f t="shared" si="56"/>
        <v/>
      </c>
      <c r="E506" s="45" t="str">
        <f t="shared" si="57"/>
        <v/>
      </c>
      <c r="F506" s="46" t="str">
        <f t="shared" si="58"/>
        <v/>
      </c>
    </row>
    <row r="507" ht="36" customHeight="1" spans="1:9">
      <c r="B507" s="43" t="str">
        <f t="shared" si="49"/>
        <v/>
      </c>
      <c r="C507" s="44" t="str">
        <f t="shared" si="50"/>
        <v>[]</v>
      </c>
      <c r="D507" s="45" t="str">
        <f t="shared" si="56"/>
        <v/>
      </c>
      <c r="E507" s="45" t="str">
        <f t="shared" si="57"/>
        <v/>
      </c>
      <c r="F507" s="46" t="str">
        <f t="shared" si="58"/>
        <v/>
      </c>
    </row>
  </sheetData>
  <conditionalFormatting sqref="D1:D507">
    <cfRule type="colorScale" priority="2">
      <colorScale>
        <cfvo type="min"/>
        <cfvo type="max"/>
        <color rgb="FFFFEF9C"/>
        <color rgb="FF63BE7B"/>
      </colorScale>
    </cfRule>
  </conditionalFormatting>
  <conditionalFormatting sqref="D$1:D$1048576">
    <cfRule type="colorScale" priority="1">
      <colorScale>
        <cfvo type="min"/>
        <cfvo type="max"/>
        <color rgb="FFFFEF9C"/>
        <color rgb="FF63BE7B"/>
      </colorScale>
    </cfRule>
  </conditionalFormatting>
  <pageMargins left="0.7" right="0.7" top="0.787401575" bottom="0.7874015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8"/>
  <sheetViews>
    <sheetView tabSelected="1" zoomScale="55" zoomScaleNormal="55" workbookViewId="0">
      <pane ySplit="1" topLeftCell="A186" activePane="bottomLeft" state="frozen"/>
      <selection/>
      <selection pane="bottomLeft" activeCell="B193" sqref="B193"/>
    </sheetView>
  </sheetViews>
  <sheetFormatPr defaultColWidth="11.4285714285714" defaultRowHeight="15"/>
  <cols>
    <col min="1" max="1" width="65.8571428571429" customWidth="1"/>
    <col min="2" max="2" width="31.7142857142857" customWidth="1"/>
    <col min="3" max="3" width="9.85714285714286" customWidth="1"/>
    <col min="4" max="4" width="15.1428571428571" customWidth="1"/>
    <col min="5" max="5" width="52.8571428571429" customWidth="1"/>
    <col min="6" max="6" width="95.4285714285714" customWidth="1"/>
    <col min="8" max="8" width="17.2857142857143" customWidth="1"/>
    <col min="9" max="9" width="30.2857142857143" customWidth="1"/>
    <col min="10" max="10" width="11.4285714285714" style="8"/>
    <col min="11" max="12" width="77.7142857142857" style="9" customWidth="1"/>
    <col min="13" max="13" width="126.285714285714" customWidth="1"/>
  </cols>
  <sheetData>
    <row r="1" ht="36" customHeight="1" spans="1:13">
      <c r="A1" s="10" t="s">
        <v>1</v>
      </c>
      <c r="B1" s="11" t="s">
        <v>2</v>
      </c>
      <c r="C1" s="12" t="s">
        <v>3</v>
      </c>
      <c r="D1" s="13" t="s">
        <v>4</v>
      </c>
      <c r="E1" s="13" t="s">
        <v>5</v>
      </c>
      <c r="F1" s="14" t="s">
        <v>6</v>
      </c>
      <c r="G1" s="12" t="s">
        <v>7</v>
      </c>
      <c r="H1" s="15" t="s">
        <v>8</v>
      </c>
      <c r="I1" s="16" t="s">
        <v>9</v>
      </c>
      <c r="J1" s="17" t="s">
        <v>10</v>
      </c>
      <c r="K1" s="18" t="s">
        <v>11</v>
      </c>
      <c r="L1" s="18" t="s">
        <v>12</v>
      </c>
      <c r="M1" s="12" t="s">
        <v>13</v>
      </c>
    </row>
    <row r="2" ht="36" customHeight="1" spans="1:13">
      <c r="A2" s="19" t="s">
        <v>14</v>
      </c>
      <c r="B2" s="20" t="str">
        <f>IFERROR("@"&amp;MID(A2,SEARCH("{",A2)+1,SEARCH(",",A2)-SEARCH("{",A2)-1),"")</f>
        <v>@EU2008PhysicalActivityGuidelines</v>
      </c>
      <c r="C2" s="21" t="str">
        <f>"["&amp;B2&amp;"]"</f>
        <v>[@EU2008PhysicalActivityGuidelines]</v>
      </c>
      <c r="D2" s="22" t="str">
        <f>IFERROR(MID(A2,SEARCH("year = {",A2)+8,4),"")</f>
        <v>2008</v>
      </c>
      <c r="E2" s="22" t="str">
        <f>IFERROR(MID(A2,SEARCH("author = {",A2)+10,SEARCH("}",A2,SEARCH("author = {",A2))-SEARCH("author = {",A2)-10),"")</f>
        <v>{European Union</v>
      </c>
      <c r="F2" s="23" t="str">
        <f t="shared" ref="F2:F11" si="0">IFERROR(IF(ISERROR(FIND("title =",A2)),"",MID(A2,FIND("title =",A2)+9,FIND("}",A2,FIND("title =",A2))-FIND("title =",A2)-9)),"")</f>
        <v>{EU Physical Activity Guidelines: Recommended Policy Actions in Support of Health-Enhancing Physical Activity</v>
      </c>
      <c r="G2" s="24" t="str">
        <f>IFERROR("https://doi.org/"&amp;MID(A2,SEARCH("doi = {",A2)+7,FIND("}",A2,SEARCH("doi = {",A2))-SEARCH("doi = {",A2)-7),"")</f>
        <v/>
      </c>
      <c r="H2" s="25">
        <f ca="1">IF(A2&lt;&gt;"",IF(H2&lt;&gt;"",H2,NOW()),"")</f>
        <v>46089.3787152778</v>
      </c>
      <c r="I2" s="26" t="s">
        <v>15</v>
      </c>
    </row>
    <row r="3" ht="36" customHeight="1" spans="1:13">
      <c r="A3" s="19" t="s">
        <v>16</v>
      </c>
      <c r="B3" s="20" t="str">
        <f>IFERROR("@"&amp;MID(A3,SEARCH("{",A3)+1,SEARCH(",",A3)-SEARCH("{",A3)-1),"")</f>
        <v>@Lee2008</v>
      </c>
      <c r="C3" s="21" t="str">
        <f>"["&amp;B3&amp;"]"</f>
        <v>[@Lee2008]</v>
      </c>
      <c r="D3" s="22" t="str">
        <f>IFERROR(MID(A3,SEARCH("year = {",A3)+8,4),"")</f>
        <v>2008</v>
      </c>
      <c r="E3" s="22" t="str">
        <f>IFERROR(MID(A3,SEARCH("author = {",A3)+10,SEARCH("}",A3,SEARCH("author = {",A3))-SEARCH("author = {",A3)-10),"")</f>
        <v>Lee,  Murray C. and Orenstein,  Marla R. and Richardson,  Maxwell J.</v>
      </c>
      <c r="F3" s="23" t="str">
        <f t="shared" si="0"/>
        <v>Systematic Review of Active Commuting to School and Children’s Physical Activity and Weight</v>
      </c>
      <c r="G3" s="24" t="str">
        <f>IFERROR("https://doi.org/"&amp;MID(A3,SEARCH("doi = {",A3)+7,FIND("}",A3,SEARCH("doi = {",A3))-SEARCH("doi = {",A3)-7),"")</f>
        <v>https://doi.org/10.1123/jpah.5.6.930</v>
      </c>
      <c r="H3" s="25">
        <f ca="1">IF(A3&lt;&gt;"",IF(H3&lt;&gt;"",H3,NOW()),"")</f>
        <v>46089.3787152778</v>
      </c>
      <c r="I3" s="26" t="s">
        <v>17</v>
      </c>
    </row>
    <row r="4" ht="36" customHeight="1" spans="1:13">
      <c r="A4" s="19" t="s">
        <v>18</v>
      </c>
      <c r="B4" s="20" t="str">
        <f>IFERROR("@"&amp;MID(A4,SEARCH("{",A4)+1,SEARCH(",",A4)-SEARCH("{",A4)-1),"")</f>
        <v>@Brand2014</v>
      </c>
      <c r="C4" s="21" t="str">
        <f>"["&amp;B4&amp;"]"</f>
        <v>[@Brand2014]</v>
      </c>
      <c r="D4" s="22" t="str">
        <f>IFERROR(MID(A4,SEARCH("year = {",A4)+8,4),"")</f>
        <v>2014</v>
      </c>
      <c r="E4" s="22" t="str">
        <f>IFERROR(MID(A4,SEARCH("author = {",A4)+10,SEARCH("}",A4,SEARCH("author = {",A4))-SEARCH("author = {",A4)-10),"")</f>
        <v>Brand,  Tilman and Pischke,  Claudia and Steenbock,  Berit and Schoenbach,  Johanna and Poettgen,  Saskia and Samkange-Zeeb,  Florence and Zeeb,  Hajo</v>
      </c>
      <c r="F4" s="23" t="str">
        <f t="shared" si="0"/>
        <v>What Works in Community-Based Interventions Promoting Physical Activity and Healthy Eating? A Review of Reviews</v>
      </c>
      <c r="G4" s="24" t="str">
        <f>IFERROR("https://doi.org/"&amp;MID(A4,SEARCH("doi = {",A4)+7,FIND("}",A4,SEARCH("doi = {",A4))-SEARCH("doi = {",A4)-7),"")</f>
        <v>https://doi.org/10.3390/ijerph110605866</v>
      </c>
      <c r="H4" s="25">
        <f ca="1">IF(A4&lt;&gt;"",IF(H4&lt;&gt;"",H4,NOW()),"")</f>
        <v>46089.3787152778</v>
      </c>
      <c r="I4" s="26" t="s">
        <v>17</v>
      </c>
      <c r="J4" s="27" t="s">
        <v>19</v>
      </c>
      <c r="K4" s="28"/>
      <c r="L4" s="28"/>
    </row>
    <row r="5" ht="36" customHeight="1" spans="1:13">
      <c r="A5" s="19" t="s">
        <v>20</v>
      </c>
      <c r="B5" s="20" t="str">
        <f>IFERROR("@"&amp;MID(A5,SEARCH("{",A5)+1,SEARCH(",",A5)-SEARCH("{",A5)-1),"")</f>
        <v>@Kelly2008</v>
      </c>
      <c r="C5" s="21" t="str">
        <f>"["&amp;B5&amp;"]"</f>
        <v>[@Kelly2008]</v>
      </c>
      <c r="D5" s="22" t="str">
        <f>IFERROR(MID(A5,SEARCH("year = {",A5)+8,4),"")</f>
        <v>2008</v>
      </c>
      <c r="E5" s="22" t="str">
        <f>IFERROR(MID(A5,SEARCH("author = {",A5)+10,SEARCH("}",A5,SEARCH("author = {",A5))-SEARCH("author = {",A5)-10),"")</f>
        <v>Kelly,  Stephanie A. and Melnyk,  Bernadette Mazurek</v>
      </c>
      <c r="F5" s="23" t="str">
        <f t="shared" si="0"/>
        <v>Systematic Review of Multicomponent Interventions with Overweight Middle Adolescents: Implications for Clinical Practice and Research</v>
      </c>
      <c r="G5" s="24" t="str">
        <f>IFERROR("https://doi.org/"&amp;MID(A5,SEARCH("doi = {",A5)+7,FIND("}",A5,SEARCH("doi = {",A5))-SEARCH("doi = {",A5)-7),"")</f>
        <v>https://doi.org/10.1111/j.1741-6787.2008.00131.x</v>
      </c>
      <c r="H5" s="25">
        <f ca="1">IF(A5&lt;&gt;"",IF(H5&lt;&gt;"",H5,NOW()),"")</f>
        <v>46089.3787152778</v>
      </c>
      <c r="I5" s="26" t="s">
        <v>17</v>
      </c>
      <c r="J5" s="29" t="s">
        <v>21</v>
      </c>
      <c r="K5" s="28"/>
      <c r="L5" s="28"/>
    </row>
    <row r="6" ht="36" customHeight="1" spans="1:13">
      <c r="A6" s="19" t="s">
        <v>22</v>
      </c>
      <c r="B6" s="20" t="str">
        <f t="shared" ref="B6:B69" si="1">IFERROR("@"&amp;MID(A6,SEARCH("{",A6)+1,SEARCH(",",A6)-SEARCH("{",A6)-1),"")</f>
        <v>@Cale2006</v>
      </c>
      <c r="C6" s="21" t="str">
        <f t="shared" ref="C6:C69" si="2">"["&amp;B6&amp;"]"</f>
        <v>[@Cale2006]</v>
      </c>
      <c r="D6" s="22" t="str">
        <f t="shared" ref="D6:D69" si="3">IFERROR(MID(A6,SEARCH("year = {",A6)+8,4),"")</f>
        <v>2006</v>
      </c>
      <c r="E6" s="22" t="str">
        <f t="shared" ref="E6:E69" si="4">IFERROR(MID(A6,SEARCH("author = {",A6)+10,SEARCH("}",A6,SEARCH("author = {",A6))-SEARCH("author = {",A6)-10),"")</f>
        <v>Cale,  Lorraine and Harris,  Jo</v>
      </c>
      <c r="F6" s="23" t="str">
        <f t="shared" si="0"/>
        <v>Interventions to promote young people’s physical activity: Issues,                  implications and recommendations for practice</v>
      </c>
      <c r="G6" s="24" t="str">
        <f t="shared" ref="G6:G69" si="5">IFERROR("https://doi.org/"&amp;MID(A6,SEARCH("doi = {",A6)+7,FIND("}",A6,SEARCH("doi = {",A6))-SEARCH("doi = {",A6)-7),"")</f>
        <v>https://doi.org/10.1177/0017896906069370</v>
      </c>
      <c r="H6" s="25">
        <f ca="1" t="shared" ref="H6:H69" si="6">IF(A6&lt;&gt;"",IF(H6&lt;&gt;"",H6,NOW()),"")</f>
        <v>46089.3787152778</v>
      </c>
      <c r="I6" s="26" t="s">
        <v>17</v>
      </c>
      <c r="J6" s="29" t="s">
        <v>23</v>
      </c>
      <c r="K6" s="28"/>
      <c r="L6" s="28"/>
    </row>
    <row r="7" ht="36" customHeight="1" spans="1:13">
      <c r="A7" s="19" t="s">
        <v>24</v>
      </c>
      <c r="B7" s="20" t="str">
        <f t="shared" si="1"/>
        <v>@Sallis2012YouthPhysicalActivity</v>
      </c>
      <c r="C7" s="21" t="str">
        <f t="shared" si="2"/>
        <v>[@Sallis2012YouthPhysicalActivity]</v>
      </c>
      <c r="D7" s="22" t="str">
        <f t="shared" si="3"/>
        <v>2012</v>
      </c>
      <c r="E7" s="22" t="str">
        <f t="shared" si="4"/>
        <v>Sallis, James F. and Carlson, Jordan and Mignano, Alex M.</v>
      </c>
      <c r="F7" s="23" t="str">
        <f t="shared" si="0"/>
        <v>Promoting youth physical activity through physical education and after-school programs</v>
      </c>
      <c r="G7" s="24" t="str">
        <f t="shared" si="5"/>
        <v/>
      </c>
      <c r="H7" s="25">
        <f ca="1" t="shared" si="6"/>
        <v>46089.3787152778</v>
      </c>
      <c r="I7" s="26" t="s">
        <v>17</v>
      </c>
      <c r="J7" s="29" t="s">
        <v>25</v>
      </c>
      <c r="K7" s="28"/>
      <c r="L7" s="28"/>
    </row>
    <row r="8" ht="36" customHeight="1" spans="1:13">
      <c r="A8" s="30" t="s">
        <v>26</v>
      </c>
      <c r="B8" s="20" t="str">
        <f t="shared" si="1"/>
        <v>@Bully2015</v>
      </c>
      <c r="C8" s="21" t="str">
        <f t="shared" si="2"/>
        <v>[@Bully2015]</v>
      </c>
      <c r="D8" s="22" t="str">
        <f t="shared" si="3"/>
        <v>2015</v>
      </c>
      <c r="E8" s="22" t="str">
        <f t="shared" si="4"/>
        <v>Bully,  Paola and Sánchez,  Álvaro and Zabaleta-del-Olmo,  Edurne and Pombo,  Haizea and Grandes,  Gonzalo</v>
      </c>
      <c r="F8" s="23" t="str">
        <f t="shared" si="0"/>
        <v>Evidence from interventions based on theoretical models for lifestyle modification (physical activity,  diet,  alcohol and tobacco use) in primary care settings: A systematic review</v>
      </c>
      <c r="G8" s="24" t="str">
        <f t="shared" si="5"/>
        <v>https://doi.org/10.1016/j.ypmed.2014.12.020</v>
      </c>
      <c r="H8" s="25">
        <f ca="1" t="shared" si="6"/>
        <v>46089.3787152778</v>
      </c>
      <c r="I8" s="26" t="s">
        <v>17</v>
      </c>
      <c r="J8" s="29" t="s">
        <v>27</v>
      </c>
      <c r="K8" s="28"/>
      <c r="L8" s="28"/>
      <c r="M8" t="s">
        <v>28</v>
      </c>
    </row>
    <row r="9" ht="36" customHeight="1" spans="1:13">
      <c r="A9" s="19" t="s">
        <v>29</v>
      </c>
      <c r="B9" s="20" t="str">
        <f t="shared" si="1"/>
        <v>@Maher2014</v>
      </c>
      <c r="C9" s="21" t="str">
        <f t="shared" si="2"/>
        <v>[@Maher2014]</v>
      </c>
      <c r="D9" s="22" t="str">
        <f t="shared" si="3"/>
        <v>2014</v>
      </c>
      <c r="E9" s="22" t="str">
        <f t="shared" si="4"/>
        <v>Maher,  Carol A and Lewis,  Lucy K and Ferrar,  Katia and Marshall,  Simon and De Bourdeaudhuij,  Ilse and Vandelanotte,  Corneel</v>
      </c>
      <c r="F9" s="23" t="str">
        <f t="shared" si="0"/>
        <v>Are Health Behavior Change Interventions That Use Online Social Networks Effective? A Systematic Review</v>
      </c>
      <c r="G9" s="24" t="str">
        <f t="shared" si="5"/>
        <v>https://doi.org/10.2196/jmir.2952</v>
      </c>
      <c r="H9" s="25">
        <f ca="1" t="shared" si="6"/>
        <v>46089.3787152778</v>
      </c>
      <c r="I9" s="26" t="s">
        <v>17</v>
      </c>
      <c r="M9" t="s">
        <v>30</v>
      </c>
    </row>
    <row r="10" ht="36" customHeight="1" spans="1:13">
      <c r="A10" s="19" t="s">
        <v>31</v>
      </c>
      <c r="B10" s="20" t="str">
        <f t="shared" si="1"/>
        <v>@Bartholomew2006</v>
      </c>
      <c r="C10" s="21" t="str">
        <f t="shared" si="2"/>
        <v>[@Bartholomew2006]</v>
      </c>
      <c r="D10" s="22" t="str">
        <f t="shared" si="3"/>
        <v>2006</v>
      </c>
      <c r="E10" s="22" t="str">
        <f t="shared" si="4"/>
        <v>Bartholomew, L. Kay and Parcel, Guy S. and Kok, Gerjo and Gottlieb, Nell H.</v>
      </c>
      <c r="F10" s="23" t="str">
        <f t="shared" si="0"/>
        <v>Planning health promotion programs: An intervention mapping approach</v>
      </c>
      <c r="G10" s="24" t="str">
        <f t="shared" si="5"/>
        <v/>
      </c>
      <c r="H10" s="25">
        <f ca="1" t="shared" si="6"/>
        <v>46089.3788657407</v>
      </c>
      <c r="I10" s="26" t="s">
        <v>32</v>
      </c>
      <c r="J10" s="27" t="s">
        <v>33</v>
      </c>
      <c r="K10" s="31"/>
      <c r="L10" s="31" t="s">
        <v>34</v>
      </c>
    </row>
    <row r="11" ht="36" customHeight="1" spans="1:13">
      <c r="A11" s="19" t="s">
        <v>35</v>
      </c>
      <c r="B11" s="32" t="str">
        <f t="shared" si="1"/>
        <v>@assembly2017resolution</v>
      </c>
      <c r="C11" s="33" t="str">
        <f t="shared" si="2"/>
        <v>[@assembly2017resolution]</v>
      </c>
      <c r="D11" s="34" t="str">
        <f t="shared" si="3"/>
        <v>2017</v>
      </c>
      <c r="E11" s="34" t="str">
        <f t="shared" si="4"/>
        <v>{United Nations General Assembly</v>
      </c>
      <c r="F11" s="35" t="str">
        <f t="shared" si="0"/>
        <v>{Resolution adopted by the General Assembly on 6 July 2017</v>
      </c>
      <c r="G11" s="36" t="str">
        <f t="shared" si="5"/>
        <v/>
      </c>
      <c r="H11" s="37">
        <f ca="1" t="shared" si="6"/>
        <v>45438.999419213</v>
      </c>
      <c r="I11" s="26" t="s">
        <v>36</v>
      </c>
    </row>
    <row r="12" ht="36" customHeight="1" spans="1:13">
      <c r="A12" s="19" t="s">
        <v>37</v>
      </c>
      <c r="B12" s="32" t="str">
        <f t="shared" si="1"/>
        <v>@Foster2021</v>
      </c>
      <c r="C12" s="33" t="str">
        <f t="shared" si="2"/>
        <v>[@Foster2021]</v>
      </c>
      <c r="D12" s="34" t="str">
        <f t="shared" si="3"/>
        <v>2021</v>
      </c>
      <c r="E12" s="34" t="str">
        <f t="shared" si="4"/>
        <v>Foster,  Carl and Boullosa,  Daniel and McGuigan,  Michael and Fusco,  Andrea and Cortis,  Cristina and Arney,  Blaine E. and Orton,  Bo and Dodge,  Christopher and Jaime,  Salvador and Radtke,  Kim and van Erp,  Teun and de Koning,  Jos J. and Bok,  Daniel and Rodriguez-Marroyo,  Jose A. and Porcari,  John P.</v>
      </c>
      <c r="F12" s="35" t="str">
        <f t="shared" ref="F12:F14" si="7">IFERROR(IF(ISERROR(FIND("title =",A12)),"",MID(A12,FIND("title =",A12)+9,FIND("},",A12,FIND("title =",A12))-FIND("title =",A12)-9)),"")</f>
        <v>25 Years of session rating of perceived exertion: Historical Perspective and Development</v>
      </c>
      <c r="G12" s="36" t="str">
        <f t="shared" si="5"/>
        <v>https://doi.org/10.1123/ijspp.2020-0599</v>
      </c>
      <c r="H12" s="37">
        <f ca="1" t="shared" si="6"/>
        <v>45580.9513795139</v>
      </c>
      <c r="I12" s="26" t="s">
        <v>36</v>
      </c>
    </row>
    <row r="13" ht="36" customHeight="1" spans="1:13">
      <c r="A13" s="19" t="s">
        <v>38</v>
      </c>
      <c r="B13" s="32" t="str">
        <f t="shared" si="1"/>
        <v>@Peterson1982</v>
      </c>
      <c r="C13" s="33" t="str">
        <f t="shared" si="2"/>
        <v>[@Peterson1982]</v>
      </c>
      <c r="D13" s="34" t="str">
        <f t="shared" si="3"/>
        <v>1982</v>
      </c>
      <c r="E13" s="34" t="str">
        <f t="shared" si="4"/>
        <v>Peterson,  Christopher and Semmel,  Amy and von Baeyer,  Carl and Abramson,  Lyn Y. and Metalsky,  Gerald I. and Seligman,  Martin E. P.</v>
      </c>
      <c r="F13" s="35" t="str">
        <f t="shared" si="7"/>
        <v>The attributional style questionnaire</v>
      </c>
      <c r="G13" s="36" t="str">
        <f t="shared" si="5"/>
        <v>https://doi.org/10.1007/bf01173577</v>
      </c>
      <c r="H13" s="37">
        <f ca="1" t="shared" si="6"/>
        <v>45580.9513795139</v>
      </c>
      <c r="I13" s="26" t="s">
        <v>36</v>
      </c>
      <c r="J13" s="38" t="s">
        <v>39</v>
      </c>
    </row>
    <row r="14" ht="36" customHeight="1" spans="1:13">
      <c r="A14" s="19" t="s">
        <v>40</v>
      </c>
      <c r="B14" s="32" t="str">
        <f t="shared" si="1"/>
        <v>@Watson1988</v>
      </c>
      <c r="C14" s="33" t="str">
        <f t="shared" si="2"/>
        <v>[@Watson1988]</v>
      </c>
      <c r="D14" s="34" t="str">
        <f t="shared" si="3"/>
        <v>1988</v>
      </c>
      <c r="E14" s="34" t="str">
        <f t="shared" si="4"/>
        <v>Watson,  David and Clark,  Lee Anna and Tellegen,  Auke</v>
      </c>
      <c r="F14" s="35" t="str">
        <f t="shared" si="7"/>
        <v>Development and validation of brief measures of positive and negative affect: The PANAS scales.</v>
      </c>
      <c r="G14" s="36" t="str">
        <f t="shared" si="5"/>
        <v>https://doi.org/10.1037/0022-3514.54.6.1063</v>
      </c>
      <c r="H14" s="37">
        <f ca="1" t="shared" si="6"/>
        <v>45580.9513795139</v>
      </c>
      <c r="I14" s="26" t="s">
        <v>36</v>
      </c>
    </row>
    <row r="15" ht="36" customHeight="1" spans="1:13">
      <c r="A15" s="19" t="s">
        <v>41</v>
      </c>
      <c r="B15" s="32" t="str">
        <f t="shared" si="1"/>
        <v>@RKI_2022</v>
      </c>
      <c r="C15" s="33" t="str">
        <f t="shared" si="2"/>
        <v>[@RKI_2022]</v>
      </c>
      <c r="D15" s="34" t="str">
        <f t="shared" si="3"/>
        <v>2022</v>
      </c>
      <c r="E15" s="34" t="str">
        <f t="shared" si="4"/>
        <v>{Robert Koch-Institut</v>
      </c>
      <c r="F15" s="35" t="str">
        <f t="shared" ref="F15:F17" si="8">IFERROR(IF(ISERROR(FIND("title =",A15)),"",MID(A15,FIND("title =",A15)+9,FIND("}",A15,FIND("title =",A15))-FIND("title =",A15)-9)),"")</f>
        <v>{Dashboard zu Gesundheit in Deutschland aktuell - GEDA 2019/2020</v>
      </c>
      <c r="G15" s="36" t="str">
        <f t="shared" si="5"/>
        <v>https://doi.org/10.25646/9362</v>
      </c>
      <c r="H15" s="37">
        <f ca="1" t="shared" si="6"/>
        <v>45580.9513795139</v>
      </c>
      <c r="I15" s="26" t="s">
        <v>36</v>
      </c>
    </row>
    <row r="16" ht="36" customHeight="1" spans="1:13">
      <c r="A16" s="19" t="s">
        <v>42</v>
      </c>
      <c r="B16" s="32" t="str">
        <f t="shared" si="1"/>
        <v>@WHO_2023</v>
      </c>
      <c r="C16" s="33" t="str">
        <f t="shared" si="2"/>
        <v>[@WHO_2023]</v>
      </c>
      <c r="D16" s="34" t="str">
        <f t="shared" si="3"/>
        <v>2023</v>
      </c>
      <c r="E16" s="34" t="str">
        <f t="shared" si="4"/>
        <v>{World Health Organization</v>
      </c>
      <c r="F16" s="35" t="str">
        <f t="shared" si="8"/>
        <v>Step Up! Tackling the burden of insufficient physical activity in europe</v>
      </c>
      <c r="G16" s="36" t="str">
        <f t="shared" si="5"/>
        <v/>
      </c>
      <c r="H16" s="37">
        <f ca="1" t="shared" si="6"/>
        <v>45580.9513795139</v>
      </c>
      <c r="I16" s="26" t="s">
        <v>36</v>
      </c>
    </row>
    <row r="17" ht="36" customHeight="1" spans="1:10">
      <c r="A17" s="19" t="s">
        <v>43</v>
      </c>
      <c r="B17" s="32" t="str">
        <f t="shared" si="1"/>
        <v>@Amireault2013</v>
      </c>
      <c r="C17" s="33" t="str">
        <f t="shared" si="2"/>
        <v>[@Amireault2013]</v>
      </c>
      <c r="D17" s="34" t="str">
        <f t="shared" si="3"/>
        <v>2013</v>
      </c>
      <c r="E17" s="34" t="str">
        <f t="shared" si="4"/>
        <v>Amireault,  Steve and Godin,  Gaston and Vézina-Im,  Lydi-Anne</v>
      </c>
      <c r="F17" s="35" t="str">
        <f t="shared" si="8"/>
        <v>Determinants of physical activity maintenance: A systematic review and meta-analyses</v>
      </c>
      <c r="G17" s="36" t="str">
        <f t="shared" si="5"/>
        <v>https://doi.org/10.1080/17437199.2012.701060</v>
      </c>
      <c r="H17" s="37">
        <f ca="1" t="shared" si="6"/>
        <v>45580.9513795139</v>
      </c>
      <c r="I17" s="26" t="s">
        <v>36</v>
      </c>
      <c r="J17" s="39" t="s">
        <v>44</v>
      </c>
    </row>
    <row r="18" ht="36" customHeight="1" spans="1:10">
      <c r="A18" s="19" t="s">
        <v>45</v>
      </c>
      <c r="B18" s="32" t="str">
        <f t="shared" si="1"/>
        <v>@Gilchrist2018Pride</v>
      </c>
      <c r="C18" s="33" t="str">
        <f t="shared" si="2"/>
        <v>[@Gilchrist2018Pride]</v>
      </c>
      <c r="D18" s="34" t="str">
        <f t="shared" si="3"/>
        <v>2018</v>
      </c>
      <c r="E18" s="34" t="str">
        <f t="shared" si="4"/>
        <v>Gilchrist,  Jenna D. and Sabiston,  Catherine M. and Conroy,  David E. and Atkinson,  Michael</v>
      </c>
      <c r="F18" s="35" t="str">
        <f t="shared" ref="F18:F21" si="9">IFERROR(IF(ISERROR(FIND("title =",A18)),"",MID(A18,FIND("title =",A18)+9,FIND("},",A18,FIND("title =",A18))-FIND("title =",A18)-9)),"")</f>
        <v>Authentic pride regulates runners’ training progress</v>
      </c>
      <c r="G18" s="36" t="str">
        <f t="shared" si="5"/>
        <v>https://doi.org/10.1016/j.psychsport.2018.05.007</v>
      </c>
      <c r="H18" s="37">
        <f ca="1" t="shared" si="6"/>
        <v>45580.9513795139</v>
      </c>
      <c r="I18" s="26" t="s">
        <v>36</v>
      </c>
    </row>
    <row r="19" ht="36" customHeight="1" spans="1:10">
      <c r="A19" s="40" t="s">
        <v>46</v>
      </c>
      <c r="B19" s="32" t="str">
        <f t="shared" si="1"/>
        <v>@Gilchrist2018Grit</v>
      </c>
      <c r="C19" s="33" t="str">
        <f t="shared" si="2"/>
        <v>[@Gilchrist2018Grit]</v>
      </c>
      <c r="D19" s="34" t="str">
        <f t="shared" si="3"/>
        <v>2018</v>
      </c>
      <c r="E19" s="34" t="str">
        <f t="shared" si="4"/>
        <v>Gilchrist, Jenna D. and Fong, Angela J. and Herbison, Jordan D. and Sabiston, Catherine M.</v>
      </c>
      <c r="F19" s="35" t="str">
        <f t="shared" si="9"/>
        <v>Feelings of pride are associated with grit in student-athletes and recreational runners</v>
      </c>
      <c r="G19" s="36" t="str">
        <f t="shared" si="5"/>
        <v>https://doi.org/10.1016/J.PSYCHSPORT.2017.12.009</v>
      </c>
      <c r="H19" s="37">
        <f ca="1" t="shared" si="6"/>
        <v>45580.9513795139</v>
      </c>
      <c r="I19" s="26" t="s">
        <v>36</v>
      </c>
    </row>
    <row r="20" ht="36" customHeight="1" spans="1:10">
      <c r="A20" s="19" t="s">
        <v>47</v>
      </c>
      <c r="B20" s="32" t="str">
        <f t="shared" si="1"/>
        <v>@Mack2015</v>
      </c>
      <c r="C20" s="33" t="str">
        <f t="shared" si="2"/>
        <v>[@Mack2015]</v>
      </c>
      <c r="D20" s="34" t="str">
        <f t="shared" si="3"/>
        <v>2015</v>
      </c>
      <c r="E20" s="34" t="str">
        <f t="shared" si="4"/>
        <v>Mack,  Diane E. and Kouali,  Despina and Gilchrist,  Jenna D. and Sabiston,  Catherine M.</v>
      </c>
      <c r="F20" s="35" t="str">
        <f t="shared" ref="F20:F25" si="10">IFERROR(IF(ISERROR(FIND("title =",A20)),"",MID(A20,FIND("title =",A20)+9,FIND("}",A20,FIND("title =",A20))-FIND("title =",A20)-9)),"")</f>
        <v>Pride and physical activity: Behavioural regulations as a motivational mechanism?</v>
      </c>
      <c r="G20" s="36" t="str">
        <f t="shared" si="5"/>
        <v>https://doi.org/10.1080/08870446.2015.1022547</v>
      </c>
      <c r="H20" s="37">
        <f ca="1" t="shared" si="6"/>
        <v>45580.9513795139</v>
      </c>
      <c r="I20" s="26" t="s">
        <v>36</v>
      </c>
    </row>
    <row r="21" ht="36" customHeight="1" spans="1:10">
      <c r="A21" s="19" t="s">
        <v>48</v>
      </c>
      <c r="B21" s="32" t="str">
        <f t="shared" si="1"/>
        <v>@Tracy2007</v>
      </c>
      <c r="C21" s="33" t="str">
        <f t="shared" si="2"/>
        <v>[@Tracy2007]</v>
      </c>
      <c r="D21" s="34" t="str">
        <f t="shared" si="3"/>
        <v>2007</v>
      </c>
      <c r="E21" s="34" t="str">
        <f t="shared" si="4"/>
        <v>Tracy,  Jessica L. and Robins,  Richard W.</v>
      </c>
      <c r="F21" s="35" t="str">
        <f t="shared" si="9"/>
        <v>Authentic and hubristic pride scales</v>
      </c>
      <c r="G21" s="36" t="str">
        <f t="shared" si="5"/>
        <v>https://doi.org/10.1037/t06465-000</v>
      </c>
      <c r="H21" s="37">
        <f ca="1" t="shared" si="6"/>
        <v>45580.9513795139</v>
      </c>
      <c r="I21" s="26" t="s">
        <v>36</v>
      </c>
    </row>
    <row r="22" ht="36" customHeight="1" spans="1:10">
      <c r="A22" s="19" t="s">
        <v>49</v>
      </c>
      <c r="B22" s="32" t="str">
        <f t="shared" si="1"/>
        <v>@Marcus1997</v>
      </c>
      <c r="C22" s="33" t="str">
        <f t="shared" si="2"/>
        <v>[@Marcus1997]</v>
      </c>
      <c r="D22" s="34" t="str">
        <f t="shared" si="3"/>
        <v>1997</v>
      </c>
      <c r="E22" s="34" t="str">
        <f t="shared" si="4"/>
        <v>Marcus,  Bess H. and Bock,  Beth C. and Pinto,  Bernardine M.</v>
      </c>
      <c r="F22" s="35" t="str">
        <f t="shared" si="10"/>
        <v>Initiation and maintenance of exercise behavior</v>
      </c>
      <c r="G22" s="36" t="str">
        <f t="shared" si="5"/>
        <v>https://doi.org/10.1007/978-1-4899-1760-7_18</v>
      </c>
      <c r="H22" s="37">
        <f ca="1" t="shared" si="6"/>
        <v>45580.9513795139</v>
      </c>
      <c r="I22" s="26" t="s">
        <v>36</v>
      </c>
    </row>
    <row r="23" ht="36" customHeight="1" spans="1:10">
      <c r="A23" s="19" t="s">
        <v>50</v>
      </c>
      <c r="B23" s="32" t="str">
        <f t="shared" si="1"/>
        <v>@Marcus1993</v>
      </c>
      <c r="C23" s="33" t="str">
        <f t="shared" si="2"/>
        <v>[@Marcus1993]</v>
      </c>
      <c r="D23" s="34" t="str">
        <f t="shared" si="3"/>
        <v>1993</v>
      </c>
      <c r="E23" s="34" t="str">
        <f t="shared" si="4"/>
        <v>Marcus,  Bess H. and Stanton,  Annette L.</v>
      </c>
      <c r="F23" s="35" t="str">
        <f t="shared" si="10"/>
        <v>Evaluation of relapse prevention and reinforcement interventions to promote exercise adherence in sedentary females</v>
      </c>
      <c r="G23" s="36" t="str">
        <f t="shared" si="5"/>
        <v>https://doi.org/10.1080/02701367.1993.10607598</v>
      </c>
      <c r="H23" s="37">
        <f ca="1" t="shared" si="6"/>
        <v>45580.9513795139</v>
      </c>
      <c r="I23" s="26" t="s">
        <v>36</v>
      </c>
    </row>
    <row r="24" ht="36" customHeight="1" spans="1:10">
      <c r="A24" s="19" t="s">
        <v>51</v>
      </c>
      <c r="B24" s="32" t="str">
        <f t="shared" si="1"/>
        <v>@Martin1984</v>
      </c>
      <c r="C24" s="33" t="str">
        <f t="shared" si="2"/>
        <v>[@Martin1984]</v>
      </c>
      <c r="D24" s="34" t="str">
        <f t="shared" si="3"/>
        <v>1984</v>
      </c>
      <c r="E24" s="34" t="str">
        <f t="shared" si="4"/>
        <v>Martin,  John e. and Dubbert,  Patricia M. and Katell,  Alan D. and Thompson,  J. Kevin and Raczynski,  James R. and Lake,  Mary and Smith,  Patrick O. and Webster,  Jeffrey S. and Sikora,  Thomas and Cohen,  Randye E.</v>
      </c>
      <c r="F24" s="35" t="str">
        <f t="shared" si="10"/>
        <v>Behavioral control of exercise in sedentary adults: Studies 1 through 6.</v>
      </c>
      <c r="G24" s="36" t="str">
        <f t="shared" si="5"/>
        <v>https://doi.org/10.1037/0022-006x.52.5.795</v>
      </c>
      <c r="H24" s="37">
        <f ca="1" t="shared" si="6"/>
        <v>45580.9513795139</v>
      </c>
      <c r="I24" s="26" t="s">
        <v>36</v>
      </c>
    </row>
    <row r="25" ht="36" customHeight="1" spans="1:10">
      <c r="A25" s="19" t="s">
        <v>52</v>
      </c>
      <c r="B25" s="32" t="str">
        <f t="shared" si="1"/>
        <v>@Stetson2005</v>
      </c>
      <c r="C25" s="33" t="str">
        <f t="shared" si="2"/>
        <v>[@Stetson2005]</v>
      </c>
      <c r="D25" s="34" t="str">
        <f t="shared" si="3"/>
        <v>2005</v>
      </c>
      <c r="E25" s="34" t="str">
        <f t="shared" si="4"/>
        <v>Stetson,  Barbara A. and Beacham,  Abbie O. and Frommelt,  Stephen J. and Boutelle,  Kerri N. and Cole,  Jonathan D. and Ziegler,  Craig H. and Looney,  Stephen W.</v>
      </c>
      <c r="F25" s="35" t="str">
        <f t="shared" si="10"/>
        <v>Exercise slips in high-risk situations and activity patterns in long-term exercisers: An application of the relapse prevention model</v>
      </c>
      <c r="G25" s="36" t="str">
        <f t="shared" si="5"/>
        <v>https://doi.org/10.1207/s15324796abm3001_4</v>
      </c>
      <c r="H25" s="37">
        <f ca="1" t="shared" si="6"/>
        <v>45580.9513795139</v>
      </c>
      <c r="I25" s="26" t="s">
        <v>36</v>
      </c>
      <c r="J25" s="39" t="s">
        <v>53</v>
      </c>
    </row>
    <row r="26" ht="36" customHeight="1" spans="1:10">
      <c r="A26" s="19" t="s">
        <v>54</v>
      </c>
      <c r="B26" s="32" t="str">
        <f t="shared" si="1"/>
        <v>@lme4</v>
      </c>
      <c r="C26" s="33" t="str">
        <f t="shared" si="2"/>
        <v>[@lme4]</v>
      </c>
      <c r="D26" s="34" t="str">
        <f t="shared" si="3"/>
        <v>2015</v>
      </c>
      <c r="E26" s="34" t="str">
        <f t="shared" si="4"/>
        <v>Douglas Bates and Martin Mächler and Ben Bolker and Steve Walker</v>
      </c>
      <c r="F26" s="35" t="str">
        <f t="shared" ref="F26:F39" si="11">IFERROR(IF(ISERROR(FIND("title =",A26)),"",MID(A26,FIND("title =",A26)+9,FIND("},",A26,FIND("title =",A26))-FIND("title =",A26)-9)),"")</f>
        <v>Fitting linear mixed-effects models using {{lme4}}</v>
      </c>
      <c r="G26" s="36" t="str">
        <f t="shared" si="5"/>
        <v>https://doi.org/10.18637/jss.v067.i01</v>
      </c>
      <c r="H26" s="37">
        <f ca="1" t="shared" si="6"/>
        <v>45580.9513795139</v>
      </c>
      <c r="I26" s="26" t="s">
        <v>36</v>
      </c>
    </row>
    <row r="27" ht="36" customHeight="1" spans="1:10">
      <c r="A27" s="19" t="s">
        <v>55</v>
      </c>
      <c r="B27" s="32" t="str">
        <f t="shared" si="1"/>
        <v>@Marlatt1984</v>
      </c>
      <c r="C27" s="33" t="str">
        <f t="shared" si="2"/>
        <v>[@Marlatt1984]</v>
      </c>
      <c r="D27" s="34" t="str">
        <f t="shared" si="3"/>
        <v>1984</v>
      </c>
      <c r="E27" s="34" t="str">
        <f t="shared" si="4"/>
        <v>Marlatt,  G. Alan and George,  William H.</v>
      </c>
      <c r="F27" s="35" t="str">
        <f t="shared" si="11"/>
        <v>Relapse prevention: Introduction and overview of the model</v>
      </c>
      <c r="G27" s="36" t="str">
        <f t="shared" si="5"/>
        <v>https://doi.org/10.1111/j.1360-0443.1984.tb03867.x</v>
      </c>
      <c r="H27" s="37">
        <f ca="1" t="shared" si="6"/>
        <v>45580.9513795139</v>
      </c>
      <c r="I27" s="26" t="s">
        <v>36</v>
      </c>
      <c r="J27" s="38" t="s">
        <v>56</v>
      </c>
    </row>
    <row r="28" ht="36" customHeight="1" spans="1:10">
      <c r="A28" s="19" t="s">
        <v>57</v>
      </c>
      <c r="B28" s="32" t="str">
        <f t="shared" si="1"/>
        <v>@Tompuri2015</v>
      </c>
      <c r="C28" s="33" t="str">
        <f t="shared" si="2"/>
        <v>[@Tompuri2015]</v>
      </c>
      <c r="D28" s="34" t="str">
        <f t="shared" si="3"/>
        <v>2015</v>
      </c>
      <c r="E28" s="34" t="str">
        <f t="shared" si="4"/>
        <v>Tompuri,  Tuomo T.</v>
      </c>
      <c r="F28" s="35" t="str">
        <f t="shared" si="11"/>
        <v>Metabolic equivalents of task are confounded by adiposity,  which disturbs objective measurement of physical activity</v>
      </c>
      <c r="G28" s="36" t="str">
        <f t="shared" si="5"/>
        <v>https://doi.org/10.3389/fphys.2015.00226</v>
      </c>
      <c r="H28" s="37">
        <f ca="1" t="shared" si="6"/>
        <v>45581.4998199074</v>
      </c>
      <c r="I28" s="26" t="s">
        <v>36</v>
      </c>
    </row>
    <row r="29" ht="36" customHeight="1" spans="1:10">
      <c r="A29" s="19" t="s">
        <v>58</v>
      </c>
      <c r="B29" s="32" t="str">
        <f t="shared" si="1"/>
        <v>@hollmann2009sportmedizin</v>
      </c>
      <c r="C29" s="33" t="str">
        <f t="shared" si="2"/>
        <v>[@hollmann2009sportmedizin]</v>
      </c>
      <c r="D29" s="34" t="str">
        <f t="shared" si="3"/>
        <v>2009</v>
      </c>
      <c r="E29" s="34" t="str">
        <f t="shared" si="4"/>
        <v>Hollmann, Wildor and Strüder, Heiko K.</v>
      </c>
      <c r="F29" s="35" t="str">
        <f t="shared" si="11"/>
        <v>{Sportmedizin. Grundlagen für physische Aktivität, Training und Präventivmedizin}</v>
      </c>
      <c r="G29" s="36" t="str">
        <f t="shared" si="5"/>
        <v/>
      </c>
      <c r="H29" s="37">
        <f ca="1" t="shared" si="6"/>
        <v>45581.507293287</v>
      </c>
      <c r="I29" s="26" t="s">
        <v>36</v>
      </c>
    </row>
    <row r="30" ht="36" customHeight="1" spans="1:10">
      <c r="A30" s="19" t="s">
        <v>59</v>
      </c>
      <c r="B30" s="32" t="str">
        <f t="shared" si="1"/>
        <v>@Eckert2014</v>
      </c>
      <c r="C30" s="33" t="str">
        <f t="shared" si="2"/>
        <v>[@Eckert2014]</v>
      </c>
      <c r="D30" s="34" t="str">
        <f t="shared" si="3"/>
        <v>2014</v>
      </c>
      <c r="E30" s="34" t="str">
        <f t="shared" si="4"/>
        <v>Eckert, Katharina
and Lange, Martin
and Wagner, Petra</v>
      </c>
      <c r="F30" s="35" t="str">
        <f t="shared" si="11"/>
        <v>{Erfassung körperlicher Aktivität - Ein Überblick über Anspruch und Realität einer validen Messung}</v>
      </c>
      <c r="G30" s="36" t="str">
        <f t="shared" si="5"/>
        <v>https://doi.org/10.1007/978-3-531-19063-1_5</v>
      </c>
      <c r="H30" s="37">
        <f ca="1" t="shared" si="6"/>
        <v>45581.5173570602</v>
      </c>
      <c r="I30" s="26" t="s">
        <v>36</v>
      </c>
      <c r="J30" s="39" t="s">
        <v>60</v>
      </c>
    </row>
    <row r="31" ht="36" customHeight="1" spans="1:10">
      <c r="A31" s="19" t="s">
        <v>61</v>
      </c>
      <c r="B31" s="32" t="str">
        <f t="shared" si="1"/>
        <v>@Roordink2021</v>
      </c>
      <c r="C31" s="33" t="str">
        <f t="shared" si="2"/>
        <v>[@Roordink2021]</v>
      </c>
      <c r="D31" s="34" t="str">
        <f t="shared" si="3"/>
        <v>2021</v>
      </c>
      <c r="E31" s="34" t="str">
        <f t="shared" si="4"/>
        <v>Roordink,  Eline M. and Steenhuis,  Ingrid H. M. and Kroeze,  Willemieke and Schoonmade,  Linda J. and Sniehotta,  Falko F. and van Stralen,  Maartje M.</v>
      </c>
      <c r="F31" s="35" t="str">
        <f t="shared" si="11"/>
        <v>Predictors of lapse and relapse in physical activity and dietary behaviour: a systematic search and review on prospective studies</v>
      </c>
      <c r="G31" s="36" t="str">
        <f t="shared" si="5"/>
        <v>https://doi.org/10.1080/08870446.2021.1981900</v>
      </c>
      <c r="H31" s="37">
        <f ca="1" t="shared" si="6"/>
        <v>45588.8889688657</v>
      </c>
      <c r="I31" s="26" t="s">
        <v>36</v>
      </c>
    </row>
    <row r="32" ht="36" customHeight="1" spans="1:10">
      <c r="A32" s="19" t="s">
        <v>62</v>
      </c>
      <c r="B32" s="32" t="str">
        <f t="shared" si="1"/>
        <v>@Piggin2020</v>
      </c>
      <c r="C32" s="33" t="str">
        <f t="shared" si="2"/>
        <v>[@Piggin2020]</v>
      </c>
      <c r="D32" s="34" t="str">
        <f t="shared" si="3"/>
        <v>2020</v>
      </c>
      <c r="E32" s="34" t="str">
        <f t="shared" si="4"/>
        <v>Piggin,  Joe</v>
      </c>
      <c r="F32" s="35" t="str">
        <f t="shared" si="11"/>
        <v>What is physical activity? A holistic definition for teachers,  researchers and policy Makers</v>
      </c>
      <c r="G32" s="36" t="str">
        <f t="shared" si="5"/>
        <v>https://doi.org/10.3389/fspor.2020.00072</v>
      </c>
      <c r="H32" s="37">
        <f ca="1" t="shared" si="6"/>
        <v>45588.905975463</v>
      </c>
      <c r="I32" s="26" t="s">
        <v>36</v>
      </c>
      <c r="J32" s="38" t="s">
        <v>63</v>
      </c>
    </row>
    <row r="33" ht="36" customHeight="1" spans="1:10">
      <c r="A33" s="19" t="s">
        <v>64</v>
      </c>
      <c r="B33" s="32" t="str">
        <f t="shared" si="1"/>
        <v>@caspersen1985physical</v>
      </c>
      <c r="C33" s="33" t="str">
        <f t="shared" si="2"/>
        <v>[@caspersen1985physical]</v>
      </c>
      <c r="D33" s="34" t="str">
        <f t="shared" si="3"/>
        <v>1985</v>
      </c>
      <c r="E33" s="34" t="str">
        <f t="shared" si="4"/>
        <v>Caspersen, Carl J. and Powell, Kenneth E. and Christenson, Gregory M.</v>
      </c>
      <c r="F33" s="35" t="str">
        <f t="shared" si="11"/>
        <v>Physical activity, exercise, and physical fitness: definitions and distinctions for health-related research</v>
      </c>
      <c r="G33" s="36" t="str">
        <f t="shared" si="5"/>
        <v/>
      </c>
      <c r="H33" s="37">
        <f ca="1" t="shared" si="6"/>
        <v>45588.9090482639</v>
      </c>
      <c r="I33" s="26" t="s">
        <v>36</v>
      </c>
    </row>
    <row r="34" ht="36" customHeight="1" spans="1:10">
      <c r="A34" s="19" t="s">
        <v>65</v>
      </c>
      <c r="B34" s="32" t="str">
        <f t="shared" si="1"/>
        <v>@Krug2013</v>
      </c>
      <c r="C34" s="33" t="str">
        <f t="shared" si="2"/>
        <v>[@Krug2013]</v>
      </c>
      <c r="D34" s="34" t="str">
        <f t="shared" si="3"/>
        <v>2013</v>
      </c>
      <c r="E34" s="34" t="str">
        <f t="shared" si="4"/>
        <v>Krug, Susanne and Jordan, Susanne and Mensink, Gert and Müters, Stephan and Finger, Jonas and Lampert, Thomas</v>
      </c>
      <c r="F34" s="35" t="str">
        <f t="shared" si="11"/>
        <v>Körperliche Aktivität</v>
      </c>
      <c r="G34" s="36" t="str">
        <f t="shared" si="5"/>
        <v>https://doi.org/10.1007/s00103-012-1661-6</v>
      </c>
      <c r="H34" s="37">
        <f ca="1" t="shared" si="6"/>
        <v>45588.9406613426</v>
      </c>
      <c r="I34" s="26" t="s">
        <v>36</v>
      </c>
    </row>
    <row r="35" ht="36" customHeight="1" spans="1:10">
      <c r="A35" s="19" t="s">
        <v>66</v>
      </c>
      <c r="B35" s="32" t="str">
        <f t="shared" si="1"/>
        <v>@Ainsworth2020</v>
      </c>
      <c r="C35" s="33" t="str">
        <f t="shared" si="2"/>
        <v>[@Ainsworth2020]</v>
      </c>
      <c r="D35" s="34" t="str">
        <f t="shared" si="3"/>
        <v>2020</v>
      </c>
      <c r="E35" s="34" t="str">
        <f t="shared" si="4"/>
        <v>Ainsworth, Barbara E. and Der Ananian, Cheryl</v>
      </c>
      <c r="F35" s="35" t="str">
        <f t="shared" si="11"/>
        <v>Physical activity promotion</v>
      </c>
      <c r="G35" s="36" t="str">
        <f t="shared" si="5"/>
        <v>https://doi.org/doi.org/10.1002/9781119568124.ch37</v>
      </c>
      <c r="H35" s="37">
        <f ca="1" t="shared" si="6"/>
        <v>45589.8938123843</v>
      </c>
      <c r="I35" s="26" t="s">
        <v>36</v>
      </c>
    </row>
    <row r="36" ht="36" customHeight="1" spans="1:10">
      <c r="A36" s="19" t="s">
        <v>67</v>
      </c>
      <c r="B36" s="32" t="str">
        <f t="shared" si="1"/>
        <v>@Mcauley1994</v>
      </c>
      <c r="C36" s="33" t="str">
        <f t="shared" si="2"/>
        <v>[@Mcauley1994]</v>
      </c>
      <c r="D36" s="34" t="str">
        <f t="shared" si="3"/>
        <v>1994</v>
      </c>
      <c r="E36" s="34" t="str">
        <f t="shared" si="4"/>
        <v>Mcauley,  E. and Courneya,  K.S. and Rudolph,  D.L. and Lox,  C.L.</v>
      </c>
      <c r="F36" s="35" t="str">
        <f t="shared" si="11"/>
        <v>Enhancing exercise adherence in middle-aged males and females</v>
      </c>
      <c r="G36" s="36" t="str">
        <f t="shared" si="5"/>
        <v>https://doi.org/10.1006/pmed.1994.1068</v>
      </c>
      <c r="H36" s="37">
        <f ca="1" t="shared" si="6"/>
        <v>45589.9336280093</v>
      </c>
      <c r="I36" s="26" t="s">
        <v>36</v>
      </c>
      <c r="J36" s="39" t="s">
        <v>68</v>
      </c>
    </row>
    <row r="37" ht="36" customHeight="1" spans="1:10">
      <c r="A37" s="19" t="s">
        <v>69</v>
      </c>
      <c r="B37" s="32" t="str">
        <f t="shared" si="1"/>
        <v>@Buckworth2007</v>
      </c>
      <c r="C37" s="33" t="str">
        <f t="shared" si="2"/>
        <v>[@Buckworth2007]</v>
      </c>
      <c r="D37" s="34" t="str">
        <f t="shared" si="3"/>
        <v>2007</v>
      </c>
      <c r="E37" s="34" t="str">
        <f t="shared" si="4"/>
        <v>Buckworth, Janet and Dishman, Rodney K.</v>
      </c>
      <c r="F37" s="35" t="str">
        <f t="shared" si="11"/>
        <v>Exercise adherence</v>
      </c>
      <c r="G37" s="36" t="str">
        <f t="shared" si="5"/>
        <v>https://doi.org/10.1002/9781118270011</v>
      </c>
      <c r="H37" s="37">
        <f ca="1" t="shared" si="6"/>
        <v>45589.9391543981</v>
      </c>
      <c r="I37" s="26" t="s">
        <v>36</v>
      </c>
      <c r="J37" s="39"/>
    </row>
    <row r="38" ht="36" customHeight="1" spans="1:10">
      <c r="A38" s="19" t="s">
        <v>70</v>
      </c>
      <c r="B38" s="32" t="str">
        <f t="shared" si="1"/>
        <v>@WHO2010</v>
      </c>
      <c r="C38" s="33" t="str">
        <f t="shared" si="2"/>
        <v>[@WHO2010]</v>
      </c>
      <c r="D38" s="34" t="str">
        <f t="shared" si="3"/>
        <v>2010</v>
      </c>
      <c r="E38" s="34" t="str">
        <f t="shared" si="4"/>
        <v/>
      </c>
      <c r="F38" s="35" t="str">
        <f t="shared" si="11"/>
        <v>Global recommendations on physical activity for health</v>
      </c>
      <c r="G38" s="36" t="str">
        <f t="shared" si="5"/>
        <v/>
      </c>
      <c r="H38" s="37">
        <f ca="1" t="shared" si="6"/>
        <v>45589.946631713</v>
      </c>
      <c r="I38" s="26" t="s">
        <v>36</v>
      </c>
      <c r="J38" s="39"/>
    </row>
    <row r="39" ht="36" customHeight="1" spans="1:10">
      <c r="A39" s="19" t="s">
        <v>71</v>
      </c>
      <c r="B39" s="32" t="str">
        <f t="shared" si="1"/>
        <v>@Ding2016</v>
      </c>
      <c r="C39" s="33" t="str">
        <f t="shared" si="2"/>
        <v>[@Ding2016]</v>
      </c>
      <c r="D39" s="34" t="str">
        <f t="shared" si="3"/>
        <v>2016</v>
      </c>
      <c r="E39" s="34" t="str">
        <f t="shared" si="4"/>
        <v>Ding,  Ding and Lawson,  Kenny D and Kolbe-Alexander,  Tracy L and Finkelstein,  Eric A and Katzmarzyk,  Peter T and van Mechelen,  Willem and Pratt,  Michael</v>
      </c>
      <c r="F39" s="35" t="str">
        <f t="shared" si="11"/>
        <v>The economic burden of physical inactivity: a global analysis of major non-communicable diseases</v>
      </c>
      <c r="G39" s="36" t="str">
        <f t="shared" si="5"/>
        <v>https://doi.org/10.1016/s0140-6736(16)30383-x</v>
      </c>
      <c r="H39" s="37">
        <f ca="1" t="shared" si="6"/>
        <v>45591.8747863426</v>
      </c>
      <c r="I39" s="26" t="s">
        <v>36</v>
      </c>
      <c r="J39" s="39" t="s">
        <v>72</v>
      </c>
    </row>
    <row r="40" ht="36" customHeight="1" spans="1:10">
      <c r="A40" s="19" t="s">
        <v>73</v>
      </c>
      <c r="B40" s="32" t="str">
        <f t="shared" si="1"/>
        <v>@Myers2004</v>
      </c>
      <c r="C40" s="33" t="str">
        <f t="shared" si="2"/>
        <v>[@Myers2004]</v>
      </c>
      <c r="D40" s="34" t="str">
        <f t="shared" si="3"/>
        <v>2004</v>
      </c>
      <c r="E40" s="34" t="str">
        <f t="shared" si="4"/>
        <v>Myers,  Jonathan and Kaykha,  Amir and George,  Sheela and Abella,  Joshua and Zaheer,  Naima and Lear,  Scott and Yamazaki,  Takuya and Froelicher,  Victor</v>
      </c>
      <c r="F40" s="35" t="str">
        <f t="shared" ref="F40:F88" si="12">IFERROR(IF(ISERROR(FIND("title =",A40)),"",MID(A40,FIND("title =",A40)+9,FIND("},",A40,FIND("title =",A40))-FIND("title =",A40)-9)),"")</f>
        <v>Fitness versus physical activity patterns in predicting mortality in men</v>
      </c>
      <c r="G40" s="36" t="str">
        <f t="shared" si="5"/>
        <v>https://doi.org/10.1016/j.amjmed.2004.06.047</v>
      </c>
      <c r="H40" s="37">
        <f ca="1" t="shared" si="6"/>
        <v>45591.9005392361</v>
      </c>
      <c r="I40" s="26" t="s">
        <v>36</v>
      </c>
      <c r="J40" s="39" t="s">
        <v>74</v>
      </c>
    </row>
    <row r="41" ht="36" customHeight="1" spans="1:10">
      <c r="A41" s="19" t="s">
        <v>75</v>
      </c>
      <c r="B41" s="32" t="str">
        <f t="shared" si="1"/>
        <v>@Lee2012</v>
      </c>
      <c r="C41" s="33" t="str">
        <f t="shared" si="2"/>
        <v>[@Lee2012]</v>
      </c>
      <c r="D41" s="34" t="str">
        <f t="shared" si="3"/>
        <v>2012</v>
      </c>
      <c r="E41" s="34" t="str">
        <f t="shared" si="4"/>
        <v>Lee,  I-Min and Shiroma,  Eric J and Lobelo,  Felipe and Puska,  Pekka and Blair,  Steven N and Katzmarzyk,  Peter T</v>
      </c>
      <c r="F41" s="35" t="str">
        <f t="shared" si="12"/>
        <v>Effect of physical inactivity on major non-communicable diseases worldwide: an analysis of burden of disease and life expectancy</v>
      </c>
      <c r="G41" s="36" t="str">
        <f t="shared" si="5"/>
        <v>https://doi.org/10.1016/s0140-6736(12)61031-9</v>
      </c>
      <c r="H41" s="37">
        <f ca="1" t="shared" si="6"/>
        <v>45591.9126888889</v>
      </c>
      <c r="I41" s="26" t="s">
        <v>36</v>
      </c>
      <c r="J41" s="39" t="s">
        <v>76</v>
      </c>
    </row>
    <row r="42" ht="36" customHeight="1" spans="1:10">
      <c r="A42" s="19" t="s">
        <v>77</v>
      </c>
      <c r="B42" s="32" t="str">
        <f t="shared" si="1"/>
        <v>@Paluska2000</v>
      </c>
      <c r="C42" s="33" t="str">
        <f t="shared" si="2"/>
        <v>[@Paluska2000]</v>
      </c>
      <c r="D42" s="34" t="str">
        <f t="shared" si="3"/>
        <v>2000</v>
      </c>
      <c r="E42" s="34" t="str">
        <f t="shared" si="4"/>
        <v>Paluska,  Scott A. and Schwenk,  Thomas L.</v>
      </c>
      <c r="F42" s="35" t="str">
        <f t="shared" si="12"/>
        <v>Physical activity and mental health: current concepts</v>
      </c>
      <c r="G42" s="36" t="str">
        <f t="shared" si="5"/>
        <v>https://doi.org/10.2165/00007256-200029030-00003</v>
      </c>
      <c r="H42" s="37">
        <f ca="1" t="shared" si="6"/>
        <v>45592.8571246528</v>
      </c>
      <c r="I42" s="26" t="s">
        <v>36</v>
      </c>
      <c r="J42" s="39" t="s">
        <v>78</v>
      </c>
    </row>
    <row r="43" ht="36" customHeight="1" spans="1:10">
      <c r="A43" s="19" t="s">
        <v>79</v>
      </c>
      <c r="B43" s="32" t="str">
        <f t="shared" si="1"/>
        <v>@Mikkelsen2017</v>
      </c>
      <c r="C43" s="33" t="str">
        <f t="shared" si="2"/>
        <v>[@Mikkelsen2017]</v>
      </c>
      <c r="D43" s="34" t="str">
        <f t="shared" si="3"/>
        <v>2017</v>
      </c>
      <c r="E43" s="34" t="str">
        <f t="shared" si="4"/>
        <v>Mikkelsen,  Kathleen and Stojanovska,  Lily and Polenakovic,  Momir and Bosevski,  Marijan and Apostolopoulos,  Vasso</v>
      </c>
      <c r="F43" s="35" t="str">
        <f t="shared" si="12"/>
        <v>Exercise and mental health</v>
      </c>
      <c r="G43" s="36" t="str">
        <f t="shared" si="5"/>
        <v>https://doi.org/10.1016/j.maturitas.2017.09.003</v>
      </c>
      <c r="H43" s="37">
        <f ca="1" t="shared" si="6"/>
        <v>45592.8574738426</v>
      </c>
      <c r="I43" s="26" t="s">
        <v>36</v>
      </c>
    </row>
    <row r="44" ht="36" customHeight="1" spans="1:10">
      <c r="A44" s="19" t="s">
        <v>80</v>
      </c>
      <c r="B44" s="32" t="str">
        <f t="shared" si="1"/>
        <v>@Carter2016</v>
      </c>
      <c r="C44" s="33" t="str">
        <f t="shared" si="2"/>
        <v>[@Carter2016]</v>
      </c>
      <c r="D44" s="34" t="str">
        <f t="shared" si="3"/>
        <v>2016</v>
      </c>
      <c r="E44" s="34" t="str">
        <f t="shared" si="4"/>
        <v>Carter,  Tim and Morres,  Ioannis D. and Meade,  Oonagh and Callaghan,  Patrick</v>
      </c>
      <c r="F44" s="35" t="str">
        <f t="shared" si="12"/>
        <v>The Effect of Exercise on Depressive Symptoms in Adolescents: A Systematic Review and Meta-Analysis</v>
      </c>
      <c r="G44" s="36" t="str">
        <f t="shared" si="5"/>
        <v>https://doi.org/10.1016/j.jaac.2016.04.016</v>
      </c>
      <c r="H44" s="37">
        <f ca="1" t="shared" si="6"/>
        <v>45592.8617266204</v>
      </c>
      <c r="I44" s="26" t="s">
        <v>36</v>
      </c>
    </row>
    <row r="45" ht="36" customHeight="1" spans="1:10">
      <c r="A45" s="19" t="s">
        <v>81</v>
      </c>
      <c r="B45" s="32" t="str">
        <f t="shared" si="1"/>
        <v>@Gillison2009</v>
      </c>
      <c r="C45" s="33" t="str">
        <f t="shared" si="2"/>
        <v>[@Gillison2009]</v>
      </c>
      <c r="D45" s="34" t="str">
        <f t="shared" si="3"/>
        <v>2009</v>
      </c>
      <c r="E45" s="34" t="str">
        <f t="shared" si="4"/>
        <v>Gillison,  Fiona Bridget and Skevington,  Suzanne M. and Sato,  Ayana and Standage,  Martyn and Evangelidou,  Stella</v>
      </c>
      <c r="F45" s="35" t="str">
        <f t="shared" si="12"/>
        <v>The effects of exercise interventions on quality of life in clinical and healthy populations; a meta-analysis</v>
      </c>
      <c r="G45" s="36" t="str">
        <f t="shared" si="5"/>
        <v>https://doi.org/10.1016/j.socscimed.2009.02.028</v>
      </c>
      <c r="H45" s="37">
        <f ca="1" t="shared" si="6"/>
        <v>45593.7949063657</v>
      </c>
      <c r="I45" s="26" t="s">
        <v>36</v>
      </c>
    </row>
    <row r="46" ht="36" customHeight="1" spans="1:10">
      <c r="A46" s="19" t="s">
        <v>82</v>
      </c>
      <c r="B46" s="32" t="str">
        <f t="shared" si="1"/>
        <v>@Foster2017</v>
      </c>
      <c r="C46" s="33" t="str">
        <f t="shared" si="2"/>
        <v>[@Foster2017]</v>
      </c>
      <c r="D46" s="34" t="str">
        <f t="shared" si="3"/>
        <v>2017</v>
      </c>
      <c r="E46" s="34" t="str">
        <f t="shared" si="4"/>
        <v>Foster,  Carl and Rodriguez-Marroyo,  Jose A. and de Koning,  Jos J.</v>
      </c>
      <c r="F46" s="35" t="str">
        <f t="shared" si="12"/>
        <v>Monitoring Training Loads: The Past,  the Present,  and the Future</v>
      </c>
      <c r="G46" s="36" t="str">
        <f t="shared" si="5"/>
        <v>https://doi.org/10.1123/ijspp.2016-0388</v>
      </c>
      <c r="H46" s="37">
        <f ca="1" t="shared" si="6"/>
        <v>45594.7928534722</v>
      </c>
      <c r="I46" s="26" t="s">
        <v>83</v>
      </c>
    </row>
    <row r="47" ht="36" customHeight="1" spans="1:10">
      <c r="A47" s="19" t="s">
        <v>84</v>
      </c>
      <c r="B47" s="32" t="str">
        <f t="shared" si="1"/>
        <v>@Grant1998</v>
      </c>
      <c r="C47" s="33" t="str">
        <f t="shared" si="2"/>
        <v>[@Grant1998]</v>
      </c>
      <c r="D47" s="34" t="str">
        <f t="shared" si="3"/>
        <v>1998</v>
      </c>
      <c r="E47" s="34" t="str">
        <f t="shared" si="4"/>
        <v>Grant, S. and Davidson, W. and Aitchison, T. and Wilson, J.</v>
      </c>
      <c r="F47" s="35" t="str">
        <f t="shared" si="12"/>
        <v>A comparison of physiological responses and rating of perceived exertion between high-impact and low-impact aerobic dance sessions</v>
      </c>
      <c r="G47" s="36" t="str">
        <f t="shared" si="5"/>
        <v/>
      </c>
      <c r="H47" s="37">
        <f ca="1" t="shared" si="6"/>
        <v>45594.7993540509</v>
      </c>
      <c r="I47" s="26" t="s">
        <v>83</v>
      </c>
    </row>
    <row r="48" ht="36" customHeight="1" spans="1:10">
      <c r="A48" s="19" t="s">
        <v>85</v>
      </c>
      <c r="B48" s="32" t="str">
        <f t="shared" si="1"/>
        <v>@Foster2001</v>
      </c>
      <c r="C48" s="33" t="str">
        <f t="shared" si="2"/>
        <v>[@Foster2001]</v>
      </c>
      <c r="D48" s="34" t="str">
        <f t="shared" si="3"/>
        <v>2001</v>
      </c>
      <c r="E48" s="34" t="str">
        <f t="shared" si="4"/>
        <v>Foster, Carl and Florhaug, Jessica A. and Franklin, Jodi and Gottschall, Lori and Hrovatin, Lauri A. and Parker, Suzanne and Doleshall, Pamela and Dodge, Christopher</v>
      </c>
      <c r="F48" s="35" t="str">
        <f t="shared" si="12"/>
        <v>A New Approach to Monitoring Exercise Training</v>
      </c>
      <c r="G48" s="36" t="str">
        <f t="shared" si="5"/>
        <v/>
      </c>
      <c r="H48" s="37">
        <f ca="1" t="shared" si="6"/>
        <v>45594.8010269676</v>
      </c>
      <c r="I48" s="26" t="s">
        <v>36</v>
      </c>
    </row>
    <row r="49" ht="36" customHeight="1" spans="1:10">
      <c r="A49" s="19" t="s">
        <v>86</v>
      </c>
      <c r="B49" s="32" t="str">
        <f t="shared" si="1"/>
        <v>@Day2004</v>
      </c>
      <c r="C49" s="33" t="str">
        <f t="shared" si="2"/>
        <v>[@Day2004]</v>
      </c>
      <c r="D49" s="34" t="str">
        <f t="shared" si="3"/>
        <v>2004</v>
      </c>
      <c r="E49" s="34" t="str">
        <f t="shared" si="4"/>
        <v>Day,  Meghan L. and McGuigan,  Michael R. and Brice,  Glenn and Foster,  Carl</v>
      </c>
      <c r="F49" s="35" t="str">
        <f t="shared" si="12"/>
        <v>Monitoring Exercise Intensity During Resistance Training Using the Session RPE Scale</v>
      </c>
      <c r="G49" s="36" t="str">
        <f t="shared" si="5"/>
        <v>https://doi.org/10.1519/r-13113.1</v>
      </c>
      <c r="H49" s="37">
        <f ca="1" t="shared" si="6"/>
        <v>45594.8057322917</v>
      </c>
      <c r="I49" s="26" t="s">
        <v>36</v>
      </c>
    </row>
    <row r="50" ht="36" customHeight="1" spans="1:10">
      <c r="A50" s="19" t="s">
        <v>87</v>
      </c>
      <c r="B50" s="32" t="str">
        <f t="shared" si="1"/>
        <v>@Crawford2004</v>
      </c>
      <c r="C50" s="33" t="str">
        <f t="shared" si="2"/>
        <v>[@Crawford2004]</v>
      </c>
      <c r="D50" s="34" t="str">
        <f t="shared" si="3"/>
        <v>2004</v>
      </c>
      <c r="E50" s="34" t="str">
        <f t="shared" si="4"/>
        <v>Crawford,  John R. and Henry,  Julie D.</v>
      </c>
      <c r="F50" s="35" t="str">
        <f t="shared" si="12"/>
        <v>The Positive and Negative Affect Schedule (PANAS): Construct validity,  measurement properties and normative data in a large non‐clinical sample</v>
      </c>
      <c r="G50" s="36" t="str">
        <f t="shared" si="5"/>
        <v>https://doi.org/10.1348/0144665031752934</v>
      </c>
      <c r="H50" s="37">
        <f ca="1" t="shared" si="6"/>
        <v>45595.3731296296</v>
      </c>
      <c r="I50" s="26" t="s">
        <v>36</v>
      </c>
    </row>
    <row r="51" ht="36" customHeight="1" spans="1:10">
      <c r="A51" s="19" t="s">
        <v>88</v>
      </c>
      <c r="B51" s="32" t="str">
        <f t="shared" si="1"/>
        <v>@Corr1996</v>
      </c>
      <c r="C51" s="33" t="str">
        <f t="shared" si="2"/>
        <v>[@Corr1996]</v>
      </c>
      <c r="D51" s="34" t="str">
        <f t="shared" si="3"/>
        <v>1996</v>
      </c>
      <c r="E51" s="34" t="str">
        <f t="shared" si="4"/>
        <v>Corr,  Philip J. and Gray,  Jeffrey A.</v>
      </c>
      <c r="F51" s="35" t="str">
        <f t="shared" si="12"/>
        <v>Structure and Validity of the Attributional Style Questionnaire: A Cross-Sample Comparison</v>
      </c>
      <c r="G51" s="36" t="str">
        <f t="shared" si="5"/>
        <v>https://doi.org/10.1080/00223980.1996.9915038</v>
      </c>
      <c r="H51" s="37">
        <f ca="1" t="shared" si="6"/>
        <v>45595.3992331019</v>
      </c>
      <c r="I51" s="26" t="s">
        <v>83</v>
      </c>
    </row>
    <row r="52" ht="36" customHeight="1" spans="1:10">
      <c r="A52" s="19" t="s">
        <v>89</v>
      </c>
      <c r="B52" s="32" t="str">
        <f t="shared" si="1"/>
        <v>@winter1994manual</v>
      </c>
      <c r="C52" s="33" t="str">
        <f t="shared" si="2"/>
        <v>[@winter1994manual]</v>
      </c>
      <c r="D52" s="34" t="str">
        <f t="shared" si="3"/>
        <v>1994</v>
      </c>
      <c r="E52" s="34" t="str">
        <f t="shared" si="4"/>
        <v>Winter, David G</v>
      </c>
      <c r="F52" s="35" t="str">
        <f t="shared" si="12"/>
        <v>Manual for scoring motive imagery in running text:(Version 4.2)</v>
      </c>
      <c r="G52" s="36" t="str">
        <f t="shared" si="5"/>
        <v/>
      </c>
      <c r="H52" s="37">
        <f ca="1" t="shared" si="6"/>
        <v>45595.4762135417</v>
      </c>
      <c r="I52" s="26" t="s">
        <v>36</v>
      </c>
    </row>
    <row r="53" ht="36" customHeight="1" spans="1:10">
      <c r="A53" s="19" t="s">
        <v>90</v>
      </c>
      <c r="B53" s="32" t="str">
        <f t="shared" si="1"/>
        <v>@Sokolowski2000</v>
      </c>
      <c r="C53" s="33" t="str">
        <f t="shared" si="2"/>
        <v>[@Sokolowski2000]</v>
      </c>
      <c r="D53" s="34" t="str">
        <f t="shared" si="3"/>
        <v>2000</v>
      </c>
      <c r="E53" s="34" t="str">
        <f t="shared" si="4"/>
        <v>Sokolowski,  Kurt and Schmalt,  Heinz-Dieter and Langens,  Thomas A. and Puca,  Rosa M.</v>
      </c>
      <c r="F53" s="35" t="str">
        <f t="shared" si="12"/>
        <v>Assessing Achievement,  Affiliation,  and Power Motives All at Once: The Multi-Motive Grid (MMG)</v>
      </c>
      <c r="G53" s="36" t="str">
        <f t="shared" si="5"/>
        <v>https://doi.org/10.1207/s15327752jpa740109</v>
      </c>
      <c r="H53" s="37">
        <f ca="1" t="shared" si="6"/>
        <v>45595.4776015046</v>
      </c>
      <c r="I53" s="26" t="s">
        <v>36</v>
      </c>
    </row>
    <row r="54" ht="36" customHeight="1" spans="1:10">
      <c r="A54" s="19" t="s">
        <v>91</v>
      </c>
      <c r="B54" s="32" t="str">
        <f t="shared" si="1"/>
        <v>@bandura1977social</v>
      </c>
      <c r="C54" s="33" t="str">
        <f t="shared" si="2"/>
        <v>[@bandura1977social]</v>
      </c>
      <c r="D54" s="34" t="str">
        <f t="shared" si="3"/>
        <v>1977</v>
      </c>
      <c r="E54" s="34" t="str">
        <f t="shared" si="4"/>
        <v>Bandura, Albert</v>
      </c>
      <c r="F54" s="35" t="str">
        <f t="shared" si="12"/>
        <v>Social Learning Theory</v>
      </c>
      <c r="G54" s="36" t="str">
        <f t="shared" si="5"/>
        <v/>
      </c>
      <c r="H54" s="37">
        <f ca="1" t="shared" si="6"/>
        <v>45620.9010836806</v>
      </c>
      <c r="I54" s="26" t="s">
        <v>36</v>
      </c>
    </row>
    <row r="55" ht="36" customHeight="1" spans="1:10">
      <c r="A55" s="19" t="s">
        <v>92</v>
      </c>
      <c r="B55" s="32" t="str">
        <f t="shared" si="1"/>
        <v>@Hox2017-dx</v>
      </c>
      <c r="C55" s="33" t="str">
        <f t="shared" si="2"/>
        <v>[@Hox2017-dx]</v>
      </c>
      <c r="D55" s="34" t="str">
        <f t="shared" si="3"/>
        <v>2017</v>
      </c>
      <c r="E55" s="34" t="str">
        <f t="shared" si="4"/>
        <v>Hox, Joop and Moerbeek, Mirjam and van de Schoot, Rens</v>
      </c>
      <c r="F55" s="35" t="str">
        <f t="shared" si="12"/>
        <v>Multilevel Analysis : Techniques and Applications, Third Edition</v>
      </c>
      <c r="G55" s="36" t="str">
        <f t="shared" si="5"/>
        <v/>
      </c>
      <c r="H55" s="37">
        <f ca="1" t="shared" si="6"/>
        <v>45642.7466113426</v>
      </c>
      <c r="I55" s="26" t="s">
        <v>36</v>
      </c>
    </row>
    <row r="56" ht="36" customHeight="1" spans="1:10">
      <c r="A56" s="19" t="s">
        <v>93</v>
      </c>
      <c r="B56" s="32" t="str">
        <f t="shared" si="1"/>
        <v>@Green2016</v>
      </c>
      <c r="C56" s="33" t="str">
        <f t="shared" si="2"/>
        <v>[@Green2016]</v>
      </c>
      <c r="D56" s="34" t="str">
        <f t="shared" si="3"/>
        <v>2016</v>
      </c>
      <c r="E56" s="34" t="str">
        <f t="shared" si="4"/>
        <v>Green,  Peter and MacLeod,  Catriona J.</v>
      </c>
      <c r="F56" s="35" t="str">
        <f t="shared" si="12"/>
        <v>&lt;scp&gt;SIMR&lt;/scp&gt;: an R package for power analysis of generalized linear mixed models by simulation</v>
      </c>
      <c r="G56" s="36" t="str">
        <f t="shared" si="5"/>
        <v>https://doi.org/10.1111/2041-210x.12504</v>
      </c>
      <c r="H56" s="37">
        <f ca="1" t="shared" si="6"/>
        <v>45642.7553413194</v>
      </c>
      <c r="I56" s="26" t="s">
        <v>36</v>
      </c>
    </row>
    <row r="57" ht="36" customHeight="1" spans="1:10">
      <c r="A57" s="19" t="s">
        <v>94</v>
      </c>
      <c r="B57" s="32" t="str">
        <f t="shared" si="1"/>
        <v>@Li2015</v>
      </c>
      <c r="C57" s="33" t="str">
        <f t="shared" si="2"/>
        <v>[@Li2015]</v>
      </c>
      <c r="D57" s="34" t="str">
        <f t="shared" si="3"/>
        <v>2015</v>
      </c>
      <c r="E57" s="34" t="str">
        <f t="shared" si="4"/>
        <v>Li,  Peng and Stuart,  Elizabeth A. and Allison,  David B.</v>
      </c>
      <c r="F57" s="35" t="str">
        <f t="shared" si="12"/>
        <v>Multiple imputation: A flexible tool for handling missing data</v>
      </c>
      <c r="G57" s="36" t="str">
        <f t="shared" si="5"/>
        <v>https://doi.org/10.1001/jama.2015.15281</v>
      </c>
      <c r="H57" s="37">
        <f ca="1" t="shared" si="6"/>
        <v>45642.9079688657</v>
      </c>
      <c r="I57" s="26" t="s">
        <v>36</v>
      </c>
    </row>
    <row r="58" ht="36" customHeight="1" spans="1:10">
      <c r="A58" s="19" t="s">
        <v>95</v>
      </c>
      <c r="B58" s="32" t="str">
        <f t="shared" si="1"/>
        <v>@Cohen2013</v>
      </c>
      <c r="C58" s="33" t="str">
        <f t="shared" si="2"/>
        <v>[@Cohen2013]</v>
      </c>
      <c r="D58" s="34" t="str">
        <f t="shared" si="3"/>
        <v>2013</v>
      </c>
      <c r="E58" s="34" t="str">
        <f t="shared" si="4"/>
        <v>Cohen,  Jacob</v>
      </c>
      <c r="F58" s="35" t="str">
        <f t="shared" si="12"/>
        <v>Statistical Power Analysis for the Behavioral Sciences</v>
      </c>
      <c r="G58" s="36" t="str">
        <f t="shared" si="5"/>
        <v>https://doi.org/10.4324/9780203771587</v>
      </c>
      <c r="H58" s="37">
        <f ca="1" t="shared" si="6"/>
        <v>45651.8495791667</v>
      </c>
      <c r="I58" s="26" t="s">
        <v>36</v>
      </c>
    </row>
    <row r="59" ht="36" customHeight="1" spans="1:10">
      <c r="A59" s="19" t="s">
        <v>96</v>
      </c>
      <c r="B59" s="32" t="str">
        <f t="shared" si="1"/>
        <v>@nezlek2008introduction</v>
      </c>
      <c r="C59" s="33" t="str">
        <f t="shared" si="2"/>
        <v>[@nezlek2008introduction]</v>
      </c>
      <c r="D59" s="34" t="str">
        <f t="shared" si="3"/>
        <v>2008</v>
      </c>
      <c r="E59" s="34" t="str">
        <f t="shared" si="4"/>
        <v>Nezlek, John B.</v>
      </c>
      <c r="F59" s="35" t="str">
        <f t="shared" si="12"/>
        <v>An Introduction to Multilevel Modeling for Social and Personality Psychology</v>
      </c>
      <c r="G59" s="36" t="str">
        <f t="shared" si="5"/>
        <v/>
      </c>
      <c r="H59" s="37">
        <f ca="1" t="shared" si="6"/>
        <v>45651.8779391204</v>
      </c>
      <c r="I59" s="26" t="s">
        <v>36</v>
      </c>
    </row>
    <row r="60" ht="36" customHeight="1" spans="1:10">
      <c r="A60" s="19" t="s">
        <v>97</v>
      </c>
      <c r="B60" s="32" t="str">
        <f t="shared" si="1"/>
        <v>@ellis2020hierarchical</v>
      </c>
      <c r="C60" s="33" t="str">
        <f t="shared" si="2"/>
        <v>[@ellis2020hierarchical]</v>
      </c>
      <c r="D60" s="34" t="str">
        <f t="shared" si="3"/>
        <v>2020</v>
      </c>
      <c r="E60" s="34" t="str">
        <f t="shared" si="4"/>
        <v>Ellis, Andrew and Mayer, Boris</v>
      </c>
      <c r="F60" s="35" t="str">
        <f t="shared" si="12"/>
        <v>Introduction to R, Chapter 12: Hierarchical Linear Models</v>
      </c>
      <c r="G60" s="36" t="str">
        <f t="shared" si="5"/>
        <v/>
      </c>
      <c r="H60" s="37">
        <f ca="1" t="shared" si="6"/>
        <v>45659.7901357639</v>
      </c>
      <c r="I60" s="26" t="s">
        <v>36</v>
      </c>
    </row>
    <row r="61" ht="36" customHeight="1" spans="1:10">
      <c r="A61" s="19" t="s">
        <v>98</v>
      </c>
      <c r="B61" s="32" t="str">
        <f t="shared" si="1"/>
        <v>@nlme2023</v>
      </c>
      <c r="C61" s="33" t="str">
        <f t="shared" si="2"/>
        <v>[@nlme2023]</v>
      </c>
      <c r="D61" s="34" t="str">
        <f t="shared" si="3"/>
        <v>2023</v>
      </c>
      <c r="E61" s="34" t="str">
        <f t="shared" si="4"/>
        <v>José Pinheiro and Douglas Bates and {R Core Team</v>
      </c>
      <c r="F61" s="35" t="str">
        <f t="shared" si="12"/>
        <v>nlme: Linear and Nonlinear Mixed Effects Models</v>
      </c>
      <c r="G61" s="36" t="str">
        <f t="shared" si="5"/>
        <v/>
      </c>
      <c r="H61" s="37">
        <f ca="1" t="shared" si="6"/>
        <v>45659.8027354167</v>
      </c>
      <c r="I61" s="26" t="s">
        <v>36</v>
      </c>
    </row>
    <row r="62" ht="36" customHeight="1" spans="1:10">
      <c r="A62" s="19" t="s">
        <v>99</v>
      </c>
      <c r="B62" s="32" t="str">
        <f t="shared" si="1"/>
        <v>@lme42025</v>
      </c>
      <c r="C62" s="33" t="str">
        <f t="shared" si="2"/>
        <v>[@lme42025]</v>
      </c>
      <c r="D62" s="34" t="str">
        <f t="shared" si="3"/>
        <v>2015</v>
      </c>
      <c r="E62" s="34" t="str">
        <f t="shared" si="4"/>
        <v>Douglas Bates and Martin Mächler and Ben Bolker and Steve Walker</v>
      </c>
      <c r="F62" s="35" t="str">
        <f t="shared" si="12"/>
        <v>Fitting Linear Mixed-Effects Models Using {lme4}</v>
      </c>
      <c r="G62" s="36" t="str">
        <f t="shared" si="5"/>
        <v>https://doi.org/10.18637/jss.v067.i01</v>
      </c>
      <c r="H62" s="37">
        <f ca="1" t="shared" si="6"/>
        <v>45659.805540162</v>
      </c>
      <c r="I62" s="26" t="s">
        <v>36</v>
      </c>
    </row>
    <row r="63" ht="36" customHeight="1" spans="1:10">
      <c r="A63" s="19" t="s">
        <v>100</v>
      </c>
      <c r="B63" s="32" t="str">
        <f t="shared" si="1"/>
        <v>@Engel1977</v>
      </c>
      <c r="C63" s="33" t="str">
        <f t="shared" si="2"/>
        <v>[@Engel1977]</v>
      </c>
      <c r="D63" s="34" t="str">
        <f t="shared" si="3"/>
        <v>1977</v>
      </c>
      <c r="E63" s="34" t="str">
        <f t="shared" si="4"/>
        <v>Engel,  George L.</v>
      </c>
      <c r="F63" s="35" t="str">
        <f t="shared" si="12"/>
        <v>The Need for a New Medical Model: A Challenge for Biomedicine</v>
      </c>
      <c r="G63" s="36" t="str">
        <f t="shared" si="5"/>
        <v>https://doi.org/10.1126/science.847460</v>
      </c>
      <c r="H63" s="37">
        <f ca="1" t="shared" si="6"/>
        <v>45666.5070952546</v>
      </c>
      <c r="I63" s="26" t="s">
        <v>36</v>
      </c>
    </row>
    <row r="64" ht="36" customHeight="1" spans="1:10">
      <c r="A64" s="19" t="s">
        <v>101</v>
      </c>
      <c r="B64" s="32" t="str">
        <f t="shared" si="1"/>
        <v>@Ledochowski2016</v>
      </c>
      <c r="C64" s="33" t="str">
        <f t="shared" si="2"/>
        <v>[@Ledochowski2016]</v>
      </c>
      <c r="D64" s="34" t="str">
        <f t="shared" si="3"/>
        <v>2016</v>
      </c>
      <c r="E64" s="34" t="str">
        <f t="shared" si="4"/>
        <v>Ledochowski,  L. and Stark,  R. and Ruedl,  G. and Kopp,  M.</v>
      </c>
      <c r="F64" s="35" t="str">
        <f t="shared" si="12"/>
        <v>{Körperliche Aktivität als therapeutische Intervention bei Depression}</v>
      </c>
      <c r="G64" s="36" t="str">
        <f t="shared" si="5"/>
        <v>https://doi.org/10.1007/s00115-016-0222-x</v>
      </c>
      <c r="H64" s="37">
        <f ca="1" t="shared" si="6"/>
        <v>45666.699690625</v>
      </c>
      <c r="I64" s="26" t="s">
        <v>36</v>
      </c>
      <c r="J64" s="39" t="s">
        <v>102</v>
      </c>
    </row>
    <row r="65" ht="36" customHeight="1" spans="1:10">
      <c r="A65" s="19" t="s">
        <v>103</v>
      </c>
      <c r="B65" s="32" t="str">
        <f t="shared" si="1"/>
        <v>@Cooney08</v>
      </c>
      <c r="C65" s="33" t="str">
        <f t="shared" si="2"/>
        <v>[@Cooney08]</v>
      </c>
      <c r="D65" s="34" t="str">
        <f t="shared" si="3"/>
        <v>2013</v>
      </c>
      <c r="E65" s="34" t="str">
        <f t="shared" si="4"/>
        <v>Cooney, GM, Dwan, K, Greig, CA, Lawlor, DA, Rimer, J, Waugh, FR, McMurdo, M, and Mead, GE</v>
      </c>
      <c r="F65" s="35" t="str">
        <f t="shared" si="12"/>
        <v>Exercise for depression</v>
      </c>
      <c r="G65" s="36" t="str">
        <f t="shared" si="5"/>
        <v>https://doi.org/10.1002/14651858.CD004366.pub6</v>
      </c>
      <c r="H65" s="37">
        <f ca="1" t="shared" si="6"/>
        <v>45666.7057612269</v>
      </c>
      <c r="I65" s="26" t="s">
        <v>36</v>
      </c>
    </row>
    <row r="66" ht="36" customHeight="1" spans="1:10">
      <c r="A66" s="19" t="s">
        <v>104</v>
      </c>
      <c r="B66" s="32" t="str">
        <f t="shared" si="1"/>
        <v>@Morres2018</v>
      </c>
      <c r="C66" s="33" t="str">
        <f t="shared" si="2"/>
        <v>[@Morres2018]</v>
      </c>
      <c r="D66" s="34" t="str">
        <f t="shared" si="3"/>
        <v>2018</v>
      </c>
      <c r="E66" s="34" t="str">
        <f t="shared" si="4"/>
        <v>Morres,  Ioannis D. and Hatzigeorgiadis,  Antonis and Stathi,  Afroditi and Comoutos,  Nikos and Arpin-Cribbie,  Chantal and Krommidas,  Charalampos and Theodorakis,  Yannis</v>
      </c>
      <c r="F66" s="35" t="str">
        <f t="shared" si="12"/>
        <v>Aerobic exercise for adult patients with major depressive disorder in mental health services: A systematic review and meta-analysis</v>
      </c>
      <c r="G66" s="36" t="str">
        <f t="shared" si="5"/>
        <v>https://doi.org/10.1002/da.22842</v>
      </c>
      <c r="H66" s="37">
        <f ca="1" t="shared" si="6"/>
        <v>45666.7101621528</v>
      </c>
      <c r="I66" s="26" t="s">
        <v>36</v>
      </c>
      <c r="J66" s="39" t="s">
        <v>105</v>
      </c>
    </row>
    <row r="67" ht="36" customHeight="1" spans="1:10">
      <c r="A67" s="19" t="s">
        <v>106</v>
      </c>
      <c r="B67" s="32" t="str">
        <f t="shared" si="1"/>
        <v>@Sterne2009</v>
      </c>
      <c r="C67" s="33" t="str">
        <f t="shared" si="2"/>
        <v>[@Sterne2009]</v>
      </c>
      <c r="D67" s="34" t="str">
        <f t="shared" si="3"/>
        <v>2009</v>
      </c>
      <c r="E67" s="34" t="str">
        <f t="shared" si="4"/>
        <v>Sterne,  J. A C and White,  I. R and Carlin,  J. B and Spratt,  M. and Royston,  P. and Kenward,  M. G and Wood,  A. M and Carpenter,  J. R</v>
      </c>
      <c r="F67" s="35" t="str">
        <f t="shared" si="12"/>
        <v>Multiple imputation for missing data in epidemiological and clinical research: potential and pitfalls</v>
      </c>
      <c r="G67" s="36" t="str">
        <f t="shared" si="5"/>
        <v>https://doi.org/10.1136/bmj.b2393</v>
      </c>
      <c r="H67" s="37">
        <f ca="1" t="shared" si="6"/>
        <v>45691.68055625</v>
      </c>
      <c r="I67" s="26" t="s">
        <v>36</v>
      </c>
    </row>
    <row r="68" ht="36" customHeight="1" spans="1:10">
      <c r="A68" s="19" t="s">
        <v>107</v>
      </c>
      <c r="B68" s="32" t="str">
        <f t="shared" ref="B68:B131" si="13">IFERROR("@"&amp;MID(A68,SEARCH("{",A68)+1,SEARCH(",",A68)-SEARCH("{",A68)-1),"")</f>
        <v>@rlanguage2024</v>
      </c>
      <c r="C68" s="33" t="str">
        <f t="shared" ref="C68:C131" si="14">"["&amp;B68&amp;"]"</f>
        <v>[@rlanguage2024]</v>
      </c>
      <c r="D68" s="34" t="str">
        <f t="shared" ref="D68:D131" si="15">IFERROR(MID(A68,SEARCH("year = {",A68)+8,4),"")</f>
        <v>2024</v>
      </c>
      <c r="E68" s="34" t="str">
        <f t="shared" ref="E68:E131" si="16">IFERROR(MID(A68,SEARCH("author = {",A68)+10,SEARCH("}",A68,SEARCH("author = {",A68))-SEARCH("author = {",A68)-10),"")</f>
        <v>{R Core Team</v>
      </c>
      <c r="F68" s="35" t="str">
        <f t="shared" si="12"/>
        <v>R: A Language and Environment for Statistical Computing</v>
      </c>
      <c r="G68" s="36" t="str">
        <f t="shared" ref="G68:G131" si="17">IFERROR("https://doi.org/"&amp;MID(A68,SEARCH("doi = {",A68)+7,FIND("}",A68,SEARCH("doi = {",A68))-SEARCH("doi = {",A68)-7),"")</f>
        <v/>
      </c>
      <c r="H68" s="37">
        <f ca="1" t="shared" ref="H68:H131" si="18">IF(A68&lt;&gt;"",IF(H68&lt;&gt;"",H68,NOW()),"")</f>
        <v>45793.7022800926</v>
      </c>
      <c r="I68" s="26" t="s">
        <v>36</v>
      </c>
    </row>
    <row r="69" ht="36" customHeight="1" spans="1:10">
      <c r="A69" s="19" t="s">
        <v>108</v>
      </c>
      <c r="B69" s="32" t="str">
        <f t="shared" si="13"/>
        <v>@nlme</v>
      </c>
      <c r="C69" s="33" t="str">
        <f t="shared" si="14"/>
        <v>[@nlme]</v>
      </c>
      <c r="D69" s="34" t="str">
        <f t="shared" si="15"/>
        <v>2024</v>
      </c>
      <c r="E69" s="34" t="str">
        <f t="shared" si="16"/>
        <v>José Pinheiro and Douglas Bates and {R Core Team</v>
      </c>
      <c r="F69" s="35" t="str">
        <f t="shared" si="12"/>
        <v>nlme: Linear and Nonlinear Mixed Effects Models</v>
      </c>
      <c r="G69" s="36" t="str">
        <f t="shared" si="17"/>
        <v/>
      </c>
      <c r="H69" s="37">
        <f ca="1" t="shared" si="18"/>
        <v>45793.7030902778</v>
      </c>
      <c r="I69" s="26" t="s">
        <v>36</v>
      </c>
    </row>
    <row r="70" ht="36" customHeight="1" spans="1:10">
      <c r="A70" s="19" t="s">
        <v>109</v>
      </c>
      <c r="B70" s="32" t="str">
        <f t="shared" si="13"/>
        <v>@Wang2015</v>
      </c>
      <c r="C70" s="33" t="str">
        <f t="shared" si="14"/>
        <v>[@Wang2015]</v>
      </c>
      <c r="D70" s="34" t="str">
        <f t="shared" si="15"/>
        <v>2015</v>
      </c>
      <c r="E70" s="34" t="str">
        <f t="shared" si="16"/>
        <v>Wang,  Lijuan (Peggy) and Maxwell,  Scott E.</v>
      </c>
      <c r="F70" s="35" t="str">
        <f t="shared" si="12"/>
        <v>On disaggregating between-person and within-person effects with longitudinal data using multilevel models.</v>
      </c>
      <c r="G70" s="36" t="str">
        <f t="shared" si="17"/>
        <v>https://doi.org/10.1037/met0000030</v>
      </c>
      <c r="H70" s="37">
        <f ca="1" t="shared" si="18"/>
        <v>45793.7035416667</v>
      </c>
      <c r="I70" s="26" t="s">
        <v>36</v>
      </c>
    </row>
    <row r="71" ht="36" customHeight="1" spans="1:10">
      <c r="A71" s="19" t="s">
        <v>110</v>
      </c>
      <c r="B71" s="32" t="str">
        <f t="shared" si="13"/>
        <v>@Munaf2017</v>
      </c>
      <c r="C71" s="33" t="str">
        <f t="shared" si="14"/>
        <v>[@Munaf2017]</v>
      </c>
      <c r="D71" s="34" t="str">
        <f t="shared" si="15"/>
        <v>2017</v>
      </c>
      <c r="E71" s="34" t="str">
        <f t="shared" si="16"/>
        <v>Munafò,  Marcus R. and Nosek,  Brian A. and Bishop,  Dorothy V. M. and Button,  Katherine S. and Chambers,  Christopher D. and Percie du Sert,  Nathalie and Simonsohn,  Uri and Wagenmakers,  Eric-Jan and Ware,  Jennifer J. and Ioannidis,  John P. A.</v>
      </c>
      <c r="F71" s="35" t="str">
        <f t="shared" si="12"/>
        <v>A manifesto for reproducible science</v>
      </c>
      <c r="G71" s="36" t="str">
        <f t="shared" si="17"/>
        <v>https://doi.org/10.1038/s41562-016-0021</v>
      </c>
      <c r="H71" s="37">
        <f ca="1" t="shared" si="18"/>
        <v>45796.3336405093</v>
      </c>
      <c r="I71" s="26" t="s">
        <v>36</v>
      </c>
    </row>
    <row r="72" ht="36" customHeight="1" spans="1:10">
      <c r="A72" s="19" t="s">
        <v>111</v>
      </c>
      <c r="B72" s="32" t="str">
        <f t="shared" si="13"/>
        <v>@manyanalysts</v>
      </c>
      <c r="C72" s="33" t="str">
        <f t="shared" si="14"/>
        <v>[@manyanalysts]</v>
      </c>
      <c r="D72" s="34" t="str">
        <f t="shared" si="15"/>
        <v>2018</v>
      </c>
      <c r="E72" s="34" t="str">
        <f t="shared" si="16"/>
        <v>R. Silberzahn and E. L. Uhlmann and D. P. Martin and P. Anselmi and F. Aust and E. Awtrey and Š. Bahník and F. Bai and C. Bannard and E. Bonnier and R. Carlsson and F. Cheung and G. Christensen and R. Clay and M. A. Craig and A. Dalla Rosa and L. Dam and M. H. Evans and I. Flores Cervantes and N. Fong and M. Gamez-Djokic and A. Glenz and S. Gordon-McKeon and T. J. Heaton and K. Hederos and M. Heene and A. J. Hofelich Mohr and F. Högden and K. Hui and M. Johannesson and J. Kalodimos and E. Kaszubowski and D. M. Kennedy and R. Lei and T. A. Lindsay and S. Liverani and C. R. Madan and D. Molden and E. Molleman and R. D. Morey and L. B. Mulder and B. R. Nijstad and N. G. Pope and B. Pope and J. M. Prenoveau and F. Rink and E. Robusto and H. Roderique and A. Sandberg and E. Schlüter and F. D. Schönbrodt and M. F. Sherman and S. A. Sommer and K. Sotak and S. Spain and C. Spörlein and T. Stafford and L. Stefanutti and S. Tauber and J. Ullrich and M. Vianello and E.-J. Wagenmakers and M. Witkowiak and S. Yoon and B. A. Nosek</v>
      </c>
      <c r="F72" s="35" t="str">
        <f t="shared" si="12"/>
        <v>any Analysts, One Data Set: Making Transparent How Variations in Analytic Choices Affect Results</v>
      </c>
      <c r="G72" s="36" t="str">
        <f t="shared" si="17"/>
        <v>https://doi.org/10.1177/2515245917747646</v>
      </c>
      <c r="H72" s="37">
        <f ca="1" t="shared" si="18"/>
        <v>45796.3373277778</v>
      </c>
      <c r="I72" s="26" t="s">
        <v>36</v>
      </c>
    </row>
    <row r="73" ht="36" customHeight="1" spans="1:10">
      <c r="A73" s="19" t="s">
        <v>112</v>
      </c>
      <c r="B73" s="32" t="str">
        <f t="shared" si="13"/>
        <v>@Kummerfeld2023</v>
      </c>
      <c r="C73" s="33" t="str">
        <f t="shared" si="14"/>
        <v>[@Kummerfeld2023]</v>
      </c>
      <c r="D73" s="34" t="str">
        <f t="shared" si="15"/>
        <v>2023</v>
      </c>
      <c r="E73" s="34" t="str">
        <f t="shared" si="16"/>
        <v>Kummerfeld,  Erich and Jones,  Galin L.</v>
      </c>
      <c r="F73" s="35" t="str">
        <f t="shared" si="12"/>
        <v>One data set,  many analysts: Implications for practicing scientists</v>
      </c>
      <c r="G73" s="36" t="str">
        <f t="shared" si="17"/>
        <v>https://doi.org/10.3389/fpsyg.2023.1094150</v>
      </c>
      <c r="H73" s="37">
        <f ca="1" t="shared" si="18"/>
        <v>45796.3569462963</v>
      </c>
      <c r="I73" s="26" t="s">
        <v>36</v>
      </c>
    </row>
    <row r="74" ht="36" customHeight="1" spans="1:10">
      <c r="A74" s="19" t="s">
        <v>113</v>
      </c>
      <c r="B74" s="32" t="str">
        <f t="shared" si="13"/>
        <v>@Perkel2022</v>
      </c>
      <c r="C74" s="33" t="str">
        <f t="shared" si="14"/>
        <v>[@Perkel2022]</v>
      </c>
      <c r="D74" s="34" t="str">
        <f t="shared" si="15"/>
        <v>2022</v>
      </c>
      <c r="E74" s="34" t="str">
        <f t="shared" si="16"/>
        <v>Perkel,  Jeffrey M.</v>
      </c>
      <c r="F74" s="35" t="str">
        <f t="shared" si="12"/>
        <v>Cut the tyranny of copy-and-paste with these coding tools</v>
      </c>
      <c r="G74" s="36" t="str">
        <f t="shared" si="17"/>
        <v>https://doi.org/10.1038/d41586-022-00563-z</v>
      </c>
      <c r="H74" s="37">
        <f ca="1" t="shared" si="18"/>
        <v>45796.367815162</v>
      </c>
      <c r="I74" s="26" t="s">
        <v>36</v>
      </c>
    </row>
    <row r="75" ht="36" customHeight="1" spans="1:10">
      <c r="A75" s="19" t="s">
        <v>114</v>
      </c>
      <c r="B75" s="32" t="str">
        <f t="shared" si="13"/>
        <v>@Amrhein2019</v>
      </c>
      <c r="C75" s="33" t="str">
        <f t="shared" si="14"/>
        <v>[@Amrhein2019]</v>
      </c>
      <c r="D75" s="34" t="str">
        <f t="shared" si="15"/>
        <v>2019</v>
      </c>
      <c r="E75" s="34" t="str">
        <f t="shared" si="16"/>
        <v>Amrhein,  Valentin and Greenland,  Sander and McShane,  Blake</v>
      </c>
      <c r="F75" s="35" t="str">
        <f t="shared" si="12"/>
        <v>Scientists rise up against statistical significance</v>
      </c>
      <c r="G75" s="36" t="str">
        <f t="shared" si="17"/>
        <v>https://doi.org/10.1038/d41586-019-00857-9</v>
      </c>
      <c r="H75" s="37">
        <f ca="1" t="shared" si="18"/>
        <v>45796.4164699074</v>
      </c>
      <c r="I75" s="26" t="s">
        <v>36</v>
      </c>
    </row>
    <row r="76" ht="36" customHeight="1" spans="1:10">
      <c r="A76" s="19" t="s">
        <v>115</v>
      </c>
      <c r="B76" s="32" t="str">
        <f t="shared" si="13"/>
        <v>@Mahmood2023</v>
      </c>
      <c r="C76" s="33" t="str">
        <f t="shared" si="14"/>
        <v>[@Mahmood2023]</v>
      </c>
      <c r="D76" s="34" t="str">
        <f t="shared" si="15"/>
        <v>2023</v>
      </c>
      <c r="E76" s="34" t="str">
        <f t="shared" si="16"/>
        <v>Mahmood,  Amreen and Nayak,  Pradeepa and Deshmukh,  Anagha and English,  Coralie and N,  Manikandan and Solomon M,  John and B,  Unnikrishnan</v>
      </c>
      <c r="F76" s="35" t="str">
        <f t="shared" si="12"/>
        <v>Measurement,  determinants,  barriers,  and interventions for exercise adherence: A scoping review</v>
      </c>
      <c r="G76" s="36" t="str">
        <f t="shared" si="17"/>
        <v>https://doi.org/10.1016/j.jbmt.2022.09.014</v>
      </c>
      <c r="H76" s="37">
        <f ca="1" t="shared" si="18"/>
        <v>45796.7163305556</v>
      </c>
      <c r="I76" s="26" t="s">
        <v>36</v>
      </c>
      <c r="J76" s="39" t="s">
        <v>116</v>
      </c>
    </row>
    <row r="77" ht="36" customHeight="1" spans="1:10">
      <c r="A77" s="19" t="s">
        <v>117</v>
      </c>
      <c r="B77" s="32" t="str">
        <f t="shared" si="13"/>
        <v>@FernandezLazaro2019</v>
      </c>
      <c r="C77" s="33" t="str">
        <f t="shared" si="14"/>
        <v>[@FernandezLazaro2019]</v>
      </c>
      <c r="D77" s="34" t="str">
        <f t="shared" si="15"/>
        <v>2019</v>
      </c>
      <c r="E77" s="34" t="str">
        <f t="shared" si="16"/>
        <v>Fernandez-Lazaro,  Cesar I. and García-González,  Juan M. and Adams,  David P. and Fernandez-Lazaro,  Diego and Mielgo-Ayuso,  Juan and Caballero-Garcia,  Alberto and Moreno Racionero,  Francisca and Córdova,  Alfredo and Miron-Canelo,  Jose A.</v>
      </c>
      <c r="F77" s="35" t="str">
        <f t="shared" si="12"/>
        <v>Adherence to treatment and related factors among patients with chronic conditions in primary care: a cross-sectional study</v>
      </c>
      <c r="G77" s="36" t="str">
        <f t="shared" si="17"/>
        <v>https://doi.org/10.1186/s12875-019-1019-3</v>
      </c>
      <c r="H77" s="37">
        <f ca="1" t="shared" si="18"/>
        <v>45796.7271199074</v>
      </c>
      <c r="I77" s="26" t="s">
        <v>36</v>
      </c>
    </row>
    <row r="78" ht="36" customHeight="1" spans="1:10">
      <c r="A78" s="19" t="s">
        <v>118</v>
      </c>
      <c r="B78" s="32" t="str">
        <f t="shared" si="13"/>
        <v>@Goddard2020</v>
      </c>
      <c r="C78" s="33" t="str">
        <f t="shared" si="14"/>
        <v>[@Goddard2020]</v>
      </c>
      <c r="D78" s="34" t="str">
        <f t="shared" si="15"/>
        <v>2020</v>
      </c>
      <c r="E78" s="34" t="str">
        <f t="shared" si="16"/>
        <v>Goddard,  Keith and Roberts,  Claire-Marie and Byron-Daniel,  James and Woodford,  Lindsay</v>
      </c>
      <c r="F78" s="35" t="str">
        <f t="shared" si="12"/>
        <v>Psychological factors involved in adherence to sport injury rehabilitation: a systematic review</v>
      </c>
      <c r="G78" s="36" t="str">
        <f t="shared" si="17"/>
        <v>https://doi.org/10.1080/1750984x.2020.1744179</v>
      </c>
      <c r="H78" s="37">
        <f ca="1" t="shared" si="18"/>
        <v>45796.7454622685</v>
      </c>
      <c r="I78" s="26" t="s">
        <v>36</v>
      </c>
      <c r="J78" s="39" t="s">
        <v>119</v>
      </c>
    </row>
    <row r="79" ht="36" customHeight="1" spans="1:10">
      <c r="A79" s="19" t="s">
        <v>120</v>
      </c>
      <c r="B79" s="32" t="str">
        <f t="shared" si="13"/>
        <v>@Brewer2000</v>
      </c>
      <c r="C79" s="33" t="str">
        <f t="shared" si="14"/>
        <v>[@Brewer2000]</v>
      </c>
      <c r="D79" s="34" t="str">
        <f t="shared" si="15"/>
        <v>2000</v>
      </c>
      <c r="E79" s="34" t="str">
        <f t="shared" si="16"/>
        <v>Brewer,  Britton W. and Cornelius,  Allen E. and Van Raalte,  Judy L. and Petitpas,  Albert J. and Sklar,  Joseph H. and Pohlman,  Mark H. and Krushell,  Robert J. and Ditmar,  Terry D.</v>
      </c>
      <c r="F79" s="35" t="str">
        <f t="shared" si="12"/>
        <v>Attributions for recovery and adherence to rehabilitation following anterior cruciate ligament reconstruction: A prospective analysis</v>
      </c>
      <c r="G79" s="36" t="str">
        <f t="shared" si="17"/>
        <v>https://doi.org/10.1080/08870440008400307</v>
      </c>
      <c r="H79" s="37">
        <f ca="1" t="shared" si="18"/>
        <v>45796.7644025463</v>
      </c>
      <c r="I79" s="26" t="s">
        <v>36</v>
      </c>
    </row>
    <row r="80" ht="36" customHeight="1" spans="1:10">
      <c r="A80" s="19" t="s">
        <v>121</v>
      </c>
      <c r="B80" s="32" t="str">
        <f t="shared" si="13"/>
        <v>@mcauley1990attrition</v>
      </c>
      <c r="C80" s="33" t="str">
        <f t="shared" si="14"/>
        <v>[@mcauley1990attrition]</v>
      </c>
      <c r="D80" s="34" t="str">
        <f t="shared" si="15"/>
        <v>1990</v>
      </c>
      <c r="E80" s="34" t="str">
        <f t="shared" si="16"/>
        <v>McAuley, Edward and Poag, Kathleen and Gleason, Andrea and Wraith, Susan</v>
      </c>
      <c r="F80" s="35" t="str">
        <f t="shared" si="12"/>
        <v>Attrition from Exercise Programs: Attributional and Affective Perspectives</v>
      </c>
      <c r="G80" s="36" t="str">
        <f t="shared" si="17"/>
        <v/>
      </c>
      <c r="H80" s="37">
        <f ca="1" t="shared" si="18"/>
        <v>45796.7797921296</v>
      </c>
      <c r="I80" s="26" t="s">
        <v>36</v>
      </c>
      <c r="J80" s="39" t="s">
        <v>122</v>
      </c>
    </row>
    <row r="81" ht="36" customHeight="1" spans="1:10">
      <c r="A81" s="19" t="s">
        <v>123</v>
      </c>
      <c r="B81" s="32" t="str">
        <f t="shared" si="13"/>
        <v>@Courneya2004</v>
      </c>
      <c r="C81" s="33" t="str">
        <f t="shared" si="14"/>
        <v>[@Courneya2004]</v>
      </c>
      <c r="D81" s="34" t="str">
        <f t="shared" si="15"/>
        <v>2004</v>
      </c>
      <c r="E81" s="34" t="str">
        <f t="shared" si="16"/>
        <v>Courneya,  Kerry S. and Friedenreich,  Christine M. and Sela,  Rami A. and Quinney,  H. Arthur and Rhodes,  Ryan E. and Jones,  Lee W.</v>
      </c>
      <c r="F81" s="35" t="str">
        <f t="shared" si="12"/>
        <v>Exercise motivation and adherence in cancer survivors after participation in a randomized controlled trial: An attribution theory perspective</v>
      </c>
      <c r="G81" s="36" t="str">
        <f t="shared" si="17"/>
        <v>https://doi.org/10.1207/s15327558ijbm1101_2</v>
      </c>
      <c r="H81" s="37">
        <f ca="1" t="shared" si="18"/>
        <v>45796.7882847222</v>
      </c>
      <c r="I81" s="26" t="s">
        <v>36</v>
      </c>
      <c r="J81" s="39" t="s">
        <v>124</v>
      </c>
    </row>
    <row r="82" ht="36" customHeight="1" spans="1:10">
      <c r="A82" s="19" t="s">
        <v>125</v>
      </c>
      <c r="B82" s="32" t="str">
        <f t="shared" si="13"/>
        <v>@McAuley1992</v>
      </c>
      <c r="C82" s="33" t="str">
        <f t="shared" si="14"/>
        <v>[@McAuley1992]</v>
      </c>
      <c r="D82" s="34" t="str">
        <f t="shared" si="15"/>
        <v>1992</v>
      </c>
      <c r="E82" s="34" t="str">
        <f t="shared" si="16"/>
        <v>McAuley,  Edward and Duncan,  Terry E. and Russell,  Daniel W.</v>
      </c>
      <c r="F82" s="35" t="str">
        <f t="shared" si="12"/>
        <v>Measuring Causal Attributions: The Revised Causal Dimension Scale (CDSII)</v>
      </c>
      <c r="G82" s="36" t="str">
        <f t="shared" si="17"/>
        <v>https://doi.org/10.1177/0146167292185006</v>
      </c>
      <c r="H82" s="37">
        <f ca="1" t="shared" si="18"/>
        <v>45797.4083178241</v>
      </c>
      <c r="I82" s="26" t="s">
        <v>36</v>
      </c>
    </row>
    <row r="83" ht="36" customHeight="1" spans="1:10">
      <c r="A83" s="19" t="s">
        <v>126</v>
      </c>
      <c r="B83" s="32" t="str">
        <f t="shared" si="13"/>
        <v>@weiner1986attribution</v>
      </c>
      <c r="C83" s="33" t="str">
        <f t="shared" si="14"/>
        <v>[@weiner1986attribution]</v>
      </c>
      <c r="D83" s="34" t="str">
        <f t="shared" si="15"/>
        <v>1986</v>
      </c>
      <c r="E83" s="34" t="str">
        <f t="shared" si="16"/>
        <v>Weiner, Bernard</v>
      </c>
      <c r="F83" s="35" t="str">
        <f t="shared" si="12"/>
        <v>Attribution, Emotion, and Action</v>
      </c>
      <c r="G83" s="36" t="str">
        <f t="shared" si="17"/>
        <v/>
      </c>
      <c r="H83" s="37">
        <f ca="1" t="shared" si="18"/>
        <v>45797.4103172454</v>
      </c>
      <c r="I83" s="26" t="s">
        <v>36</v>
      </c>
    </row>
    <row r="84" ht="36" customHeight="1" spans="1:10">
      <c r="A84" s="19" t="s">
        <v>127</v>
      </c>
      <c r="B84" s="32" t="str">
        <f t="shared" si="13"/>
        <v>@Heider1958</v>
      </c>
      <c r="C84" s="33" t="str">
        <f t="shared" si="14"/>
        <v>[@Heider1958]</v>
      </c>
      <c r="D84" s="34" t="str">
        <f t="shared" si="15"/>
        <v>1958</v>
      </c>
      <c r="E84" s="34" t="str">
        <f t="shared" si="16"/>
        <v>Heider,  Fritz</v>
      </c>
      <c r="F84" s="35" t="str">
        <f t="shared" si="12"/>
        <v>The psychology of interpersonal relations.</v>
      </c>
      <c r="G84" s="36" t="str">
        <f t="shared" si="17"/>
        <v>https://doi.org/10.1037/10628-000</v>
      </c>
      <c r="H84" s="37">
        <f ca="1" t="shared" si="18"/>
        <v>45797.4352763889</v>
      </c>
      <c r="I84" s="26" t="s">
        <v>36</v>
      </c>
    </row>
    <row r="85" ht="36" customHeight="1" spans="1:10">
      <c r="A85" s="19" t="s">
        <v>128</v>
      </c>
      <c r="B85" s="32" t="str">
        <f t="shared" si="13"/>
        <v>@harvey1976new</v>
      </c>
      <c r="C85" s="33" t="str">
        <f t="shared" si="14"/>
        <v>[@harvey1976new]</v>
      </c>
      <c r="D85" s="34" t="str">
        <f t="shared" si="15"/>
        <v>1976</v>
      </c>
      <c r="E85" s="34" t="str">
        <f t="shared" si="16"/>
        <v/>
      </c>
      <c r="F85" s="35" t="str">
        <f t="shared" si="12"/>
        <v>New Directions in Attribution Research: Volume 2</v>
      </c>
      <c r="G85" s="36" t="str">
        <f t="shared" si="17"/>
        <v>https://doi.org/10.4324/9780203780978</v>
      </c>
      <c r="H85" s="37">
        <f ca="1" t="shared" si="18"/>
        <v>45802.9222878472</v>
      </c>
      <c r="I85" s="26" t="s">
        <v>36</v>
      </c>
    </row>
    <row r="86" ht="36" customHeight="1" spans="1:10">
      <c r="A86" s="19" t="s">
        <v>129</v>
      </c>
      <c r="B86" s="32" t="str">
        <f t="shared" si="13"/>
        <v>@manusov2008attribution</v>
      </c>
      <c r="C86" s="33" t="str">
        <f t="shared" si="14"/>
        <v>[@manusov2008attribution]</v>
      </c>
      <c r="D86" s="34" t="str">
        <f t="shared" si="15"/>
        <v>2008</v>
      </c>
      <c r="E86" s="34" t="str">
        <f t="shared" si="16"/>
        <v>Manusov, Valerie and Spitzberg, Brian H.</v>
      </c>
      <c r="F86" s="35" t="str">
        <f t="shared" si="12"/>
        <v>Attribution Theory</v>
      </c>
      <c r="G86" s="36" t="str">
        <f t="shared" si="17"/>
        <v/>
      </c>
      <c r="H86" s="37">
        <f ca="1" t="shared" si="18"/>
        <v>45802.9255039352</v>
      </c>
      <c r="I86" s="26" t="s">
        <v>36</v>
      </c>
    </row>
    <row r="87" ht="36" customHeight="1" spans="1:10">
      <c r="A87" s="19" t="s">
        <v>130</v>
      </c>
      <c r="B87" s="32" t="str">
        <f t="shared" si="13"/>
        <v>@Russell1980</v>
      </c>
      <c r="C87" s="33" t="str">
        <f t="shared" si="14"/>
        <v>[@Russell1980]</v>
      </c>
      <c r="D87" s="34" t="str">
        <f t="shared" si="15"/>
        <v>1980</v>
      </c>
      <c r="E87" s="34" t="str">
        <f t="shared" si="16"/>
        <v>Russell,  James A.</v>
      </c>
      <c r="F87" s="35" t="str">
        <f t="shared" si="12"/>
        <v>A circumplex model of affect.</v>
      </c>
      <c r="G87" s="36" t="str">
        <f t="shared" si="17"/>
        <v>https://doi.org/10.1037/h0077714</v>
      </c>
      <c r="H87" s="37">
        <f ca="1" t="shared" si="18"/>
        <v>45802.9283520833</v>
      </c>
      <c r="I87" s="26" t="s">
        <v>36</v>
      </c>
    </row>
    <row r="88" ht="36" customHeight="1" spans="1:10">
      <c r="A88" s="19" t="s">
        <v>131</v>
      </c>
      <c r="B88" s="32" t="str">
        <f t="shared" si="13"/>
        <v>@eid1999intraindividual</v>
      </c>
      <c r="C88" s="33" t="str">
        <f t="shared" si="14"/>
        <v>[@eid1999intraindividual]</v>
      </c>
      <c r="D88" s="34" t="str">
        <f t="shared" si="15"/>
        <v>1999</v>
      </c>
      <c r="E88" s="34" t="str">
        <f t="shared" si="16"/>
        <v>Eid, Michael and Diener, Ed</v>
      </c>
      <c r="F88" s="35" t="str">
        <f t="shared" ref="F88:F151" si="19">IFERROR(IF(ISERROR(FIND("title =",A88)),"",MID(A88,FIND("title =",A88)+9,FIND("},",A88,FIND("title =",A88))-FIND("title =",A88)-9)),"")</f>
        <v>Intraindividual Variability in Affect: Reliability, Validity, and Personality Correlates</v>
      </c>
      <c r="G88" s="36" t="str">
        <f t="shared" si="17"/>
        <v/>
      </c>
      <c r="H88" s="37">
        <f ca="1" t="shared" si="18"/>
        <v>45802.9311037037</v>
      </c>
      <c r="I88" s="26" t="s">
        <v>36</v>
      </c>
    </row>
    <row r="89" ht="36" customHeight="1" spans="1:10">
      <c r="A89" s="19" t="s">
        <v>132</v>
      </c>
      <c r="B89" s="32" t="str">
        <f t="shared" si="13"/>
        <v>@Watson1985</v>
      </c>
      <c r="C89" s="33" t="str">
        <f t="shared" si="14"/>
        <v>[@Watson1985]</v>
      </c>
      <c r="D89" s="34" t="str">
        <f t="shared" si="15"/>
        <v>1985</v>
      </c>
      <c r="E89" s="34" t="str">
        <f t="shared" si="16"/>
        <v>Watson,  David and Tellegen,  Auke</v>
      </c>
      <c r="F89" s="35" t="str">
        <f t="shared" si="19"/>
        <v>Toward a consensual structure of mood.</v>
      </c>
      <c r="G89" s="36" t="str">
        <f t="shared" si="17"/>
        <v>https://doi.org/10.1037/0033-2909.98.2.219</v>
      </c>
      <c r="H89" s="37">
        <f ca="1" t="shared" si="18"/>
        <v>45803.5231431713</v>
      </c>
      <c r="I89" s="26" t="s">
        <v>36</v>
      </c>
      <c r="J89" s="39" t="s">
        <v>133</v>
      </c>
    </row>
    <row r="90" ht="36" customHeight="1" spans="1:10">
      <c r="A90" s="19" t="s">
        <v>134</v>
      </c>
      <c r="B90" s="32" t="str">
        <f t="shared" si="13"/>
        <v>@steyer1999latent</v>
      </c>
      <c r="C90" s="33" t="str">
        <f t="shared" si="14"/>
        <v>[@steyer1999latent]</v>
      </c>
      <c r="D90" s="34" t="str">
        <f t="shared" si="15"/>
        <v>1999</v>
      </c>
      <c r="E90" s="34" t="str">
        <f t="shared" si="16"/>
        <v>Steyer, Rolf and Schmitt, Manfred and Eid, Michael</v>
      </c>
      <c r="F90" s="35" t="str">
        <f t="shared" si="19"/>
        <v>Latent State–Trait Theory and Research in Personality and Individual Differences</v>
      </c>
      <c r="G90" s="36" t="str">
        <f t="shared" si="17"/>
        <v>https://doi.org/10.1002/(SICI)1099-0984(199909/10)13:5&lt;389::AID-PER361&gt;3.0.CO;2-A</v>
      </c>
      <c r="H90" s="37">
        <f ca="1" t="shared" si="18"/>
        <v>45805.3606384259</v>
      </c>
      <c r="I90" s="26" t="s">
        <v>36</v>
      </c>
    </row>
    <row r="91" ht="36" customHeight="1" spans="1:10">
      <c r="A91" s="19" t="s">
        <v>135</v>
      </c>
      <c r="B91" s="32" t="str">
        <f t="shared" si="13"/>
        <v>@Reich2003</v>
      </c>
      <c r="C91" s="33" t="str">
        <f t="shared" si="14"/>
        <v>[@Reich2003]</v>
      </c>
      <c r="D91" s="34" t="str">
        <f t="shared" si="15"/>
        <v>2003</v>
      </c>
      <c r="E91" s="34" t="str">
        <f t="shared" si="16"/>
        <v>Reich,  John W. and Zautra,  Alex J. and Davis,  Mary</v>
      </c>
      <c r="F91" s="35" t="str">
        <f t="shared" si="19"/>
        <v>Dimensions of Affect Relationships: Models and Their Integrative Implications</v>
      </c>
      <c r="G91" s="36" t="str">
        <f t="shared" si="17"/>
        <v>https://doi.org/10.1037/1089-2680.7.1.66</v>
      </c>
      <c r="H91" s="37">
        <f ca="1" t="shared" si="18"/>
        <v>45805.4932753472</v>
      </c>
      <c r="I91" s="26" t="s">
        <v>36</v>
      </c>
    </row>
    <row r="92" ht="36" customHeight="1" spans="1:10">
      <c r="A92" s="19" t="s">
        <v>136</v>
      </c>
      <c r="B92" s="32" t="str">
        <f t="shared" si="13"/>
        <v>@breyer2016panas</v>
      </c>
      <c r="C92" s="33" t="str">
        <f t="shared" si="14"/>
        <v>[@breyer2016panas]</v>
      </c>
      <c r="D92" s="34" t="str">
        <f t="shared" si="15"/>
        <v>2016</v>
      </c>
      <c r="E92" s="34" t="str">
        <f t="shared" si="16"/>
        <v>Breyer,  B. and Bluemke,  M.</v>
      </c>
      <c r="F92" s="35" t="str">
        <f t="shared" si="19"/>
        <v>{Deutsche Version der Positive and Negative Affect Schedule PANAS (GESIS Panel)}</v>
      </c>
      <c r="G92" s="36" t="str">
        <f t="shared" si="17"/>
        <v>https://doi.org/10.6102/ZIS242</v>
      </c>
      <c r="H92" s="37">
        <f ca="1" t="shared" si="18"/>
        <v>45805.5291641204</v>
      </c>
      <c r="I92" s="26" t="s">
        <v>36</v>
      </c>
    </row>
    <row r="93" ht="36" customHeight="1" spans="1:10">
      <c r="A93" s="19" t="s">
        <v>137</v>
      </c>
      <c r="B93" s="32" t="str">
        <f t="shared" si="13"/>
        <v>@Schoedel2023</v>
      </c>
      <c r="C93" s="33" t="str">
        <f t="shared" si="14"/>
        <v>[@Schoedel2023]</v>
      </c>
      <c r="D93" s="34" t="str">
        <f t="shared" si="15"/>
        <v>2023</v>
      </c>
      <c r="E93" s="34" t="str">
        <f t="shared" si="16"/>
        <v>Schoedel,  Ramona and Kunz,  Fiona and Bergmann,  Maximilian and Bemmann,  Florian and B\"{u</v>
      </c>
      <c r="F93" s="35" t="str">
        <f t="shared" si="19"/>
        <v>Snapshots of daily life: Situations investigated through the lens of smartphone sensing.</v>
      </c>
      <c r="G93" s="36" t="str">
        <f t="shared" si="17"/>
        <v>https://doi.org/10.1037/pspp0000469</v>
      </c>
      <c r="H93" s="37">
        <f ca="1" t="shared" si="18"/>
        <v>45805.5327902778</v>
      </c>
      <c r="I93" s="26" t="s">
        <v>36</v>
      </c>
    </row>
    <row r="94" ht="36" customHeight="1" spans="1:10">
      <c r="A94" s="19" t="s">
        <v>138</v>
      </c>
      <c r="B94" s="32" t="str">
        <f t="shared" si="13"/>
        <v>@Meteier2022</v>
      </c>
      <c r="C94" s="33" t="str">
        <f t="shared" si="14"/>
        <v>[@Meteier2022]</v>
      </c>
      <c r="D94" s="34" t="str">
        <f t="shared" si="15"/>
        <v>2022</v>
      </c>
      <c r="E94" s="34" t="str">
        <f t="shared" si="16"/>
        <v>Meteier,  Quentin and Capallera,  Marine and De Salis,  Emmanuel and Widmer,  Marino and Angelini,  Leonardo and Abou Khaled,  Omar and Mugellini,  Elena and Sonderegger,  Andreas</v>
      </c>
      <c r="F94" s="35" t="str">
        <f t="shared" si="19"/>
        <v>Carrying a passenger and relaxation before driving: Classification of young drivers’ physiological activation</v>
      </c>
      <c r="G94" s="36" t="str">
        <f t="shared" si="17"/>
        <v>https://doi.org/10.14814/phy2.15229</v>
      </c>
      <c r="H94" s="37">
        <f ca="1" t="shared" si="18"/>
        <v>45805.5362436343</v>
      </c>
      <c r="I94" s="26" t="s">
        <v>36</v>
      </c>
    </row>
    <row r="95" ht="36" customHeight="1" spans="1:10">
      <c r="A95" s="19" t="s">
        <v>139</v>
      </c>
      <c r="B95" s="32" t="str">
        <f t="shared" si="13"/>
        <v>@kelley1967attribution</v>
      </c>
      <c r="C95" s="33" t="str">
        <f t="shared" si="14"/>
        <v>[@kelley1967attribution]</v>
      </c>
      <c r="D95" s="34" t="str">
        <f t="shared" si="15"/>
        <v>1967</v>
      </c>
      <c r="E95" s="34" t="str">
        <f t="shared" si="16"/>
        <v>Kelley, Harold H.</v>
      </c>
      <c r="F95" s="35" t="str">
        <f t="shared" si="19"/>
        <v>Attribution Theory in Social Psychology</v>
      </c>
      <c r="G95" s="36" t="str">
        <f t="shared" si="17"/>
        <v/>
      </c>
      <c r="H95" s="37">
        <f ca="1" t="shared" si="18"/>
        <v>45805.5718747685</v>
      </c>
      <c r="I95" s="26" t="s">
        <v>36</v>
      </c>
    </row>
    <row r="96" ht="36" customHeight="1" spans="1:10">
      <c r="A96" s="19" t="s">
        <v>140</v>
      </c>
      <c r="B96" s="32" t="str">
        <f t="shared" si="13"/>
        <v>@Klein1976</v>
      </c>
      <c r="C96" s="33" t="str">
        <f t="shared" si="14"/>
        <v>[@Klein1976]</v>
      </c>
      <c r="D96" s="34" t="str">
        <f t="shared" si="15"/>
        <v>1976</v>
      </c>
      <c r="E96" s="34" t="str">
        <f t="shared" si="16"/>
        <v>Klein,  David C. and Fencil-Morse,  Ellen and Seligman,  Martin E.</v>
      </c>
      <c r="F96" s="35" t="str">
        <f t="shared" si="19"/>
        <v>Learned helplessness,  depression,  and the attribution of failure.</v>
      </c>
      <c r="G96" s="36" t="str">
        <f t="shared" si="17"/>
        <v>https://doi.org/10.1037/0022-3514.33.5.508</v>
      </c>
      <c r="H96" s="37">
        <f ca="1" t="shared" si="18"/>
        <v>45805.5877737269</v>
      </c>
      <c r="I96" s="26" t="s">
        <v>36</v>
      </c>
    </row>
    <row r="97" ht="36" customHeight="1" spans="1:10">
      <c r="A97" s="19" t="s">
        <v>141</v>
      </c>
      <c r="B97" s="32" t="str">
        <f t="shared" si="13"/>
        <v>@Alloy1984</v>
      </c>
      <c r="C97" s="33" t="str">
        <f t="shared" si="14"/>
        <v>[@Alloy1984]</v>
      </c>
      <c r="D97" s="34" t="str">
        <f t="shared" si="15"/>
        <v>1984</v>
      </c>
      <c r="E97" s="34" t="str">
        <f t="shared" si="16"/>
        <v>Alloy,  Lauren B. and Peterson,  Christopher and Abramson,  Lyn Y. and Seligman,  Martin E.</v>
      </c>
      <c r="F97" s="35" t="str">
        <f t="shared" si="19"/>
        <v>Attributional style and the generality of learned helplessness.</v>
      </c>
      <c r="G97" s="36" t="str">
        <f t="shared" si="17"/>
        <v>https://doi.org/10.1037/0022-3514.46.3.681</v>
      </c>
      <c r="H97" s="37">
        <f ca="1" t="shared" si="18"/>
        <v>45805.5878650463</v>
      </c>
      <c r="I97" s="26" t="s">
        <v>36</v>
      </c>
    </row>
    <row r="98" ht="36" customHeight="1" spans="1:10">
      <c r="A98" s="19" t="s">
        <v>142</v>
      </c>
      <c r="B98" s="32" t="str">
        <f t="shared" si="13"/>
        <v>@Seligman1979</v>
      </c>
      <c r="C98" s="33" t="str">
        <f t="shared" si="14"/>
        <v>[@Seligman1979]</v>
      </c>
      <c r="D98" s="34" t="str">
        <f t="shared" si="15"/>
        <v>1979</v>
      </c>
      <c r="E98" s="34" t="str">
        <f t="shared" si="16"/>
        <v>Seligman,  Martin E. and Abramson,  Lyn Y. and Semmel,  Amy and von Baeyer,  Carl</v>
      </c>
      <c r="F98" s="35" t="str">
        <f t="shared" si="19"/>
        <v>Depressive attributional style.</v>
      </c>
      <c r="G98" s="36" t="str">
        <f t="shared" si="17"/>
        <v>https://doi.org/10.1037/0021-843x.88.3.242</v>
      </c>
      <c r="H98" s="37">
        <f ca="1" t="shared" si="18"/>
        <v>45805.5883809028</v>
      </c>
      <c r="I98" s="26" t="s">
        <v>36</v>
      </c>
    </row>
    <row r="99" ht="36" customHeight="1" spans="1:10">
      <c r="A99" s="19" t="s">
        <v>143</v>
      </c>
      <c r="B99" s="32" t="str">
        <f t="shared" si="13"/>
        <v>@Hox2017</v>
      </c>
      <c r="C99" s="33" t="str">
        <f t="shared" si="14"/>
        <v>[@Hox2017]</v>
      </c>
      <c r="D99" s="34" t="str">
        <f t="shared" si="15"/>
        <v>2017</v>
      </c>
      <c r="E99" s="34" t="str">
        <f t="shared" si="16"/>
        <v>Hox,  Joop J. and Moerbeek,  Mirjam and van de Schoot,  Rens</v>
      </c>
      <c r="F99" s="35" t="str">
        <f t="shared" si="19"/>
        <v>Multilevel Analysis: Techniques and Applications</v>
      </c>
      <c r="G99" s="36" t="str">
        <f t="shared" si="17"/>
        <v>https://doi.org/10.4324/9781315650982</v>
      </c>
      <c r="H99" s="37">
        <f ca="1" t="shared" si="18"/>
        <v>45808.492937037</v>
      </c>
      <c r="I99" s="26" t="s">
        <v>36</v>
      </c>
    </row>
    <row r="100" ht="36" customHeight="1" spans="1:10">
      <c r="A100" s="19" t="s">
        <v>144</v>
      </c>
      <c r="B100" s="32" t="str">
        <f t="shared" si="13"/>
        <v>@Field2012</v>
      </c>
      <c r="C100" s="33" t="str">
        <f t="shared" si="14"/>
        <v>[@Field2012]</v>
      </c>
      <c r="D100" s="34" t="str">
        <f t="shared" si="15"/>
        <v>2012</v>
      </c>
      <c r="E100" s="34" t="str">
        <f t="shared" si="16"/>
        <v>Field, Andy and Field, Zoe. and Miles, Jeremy</v>
      </c>
      <c r="F100" s="35" t="str">
        <f t="shared" si="19"/>
        <v>Discovering Statistics Using R</v>
      </c>
      <c r="G100" s="36" t="str">
        <f t="shared" si="17"/>
        <v/>
      </c>
      <c r="H100" s="37">
        <f ca="1" t="shared" si="18"/>
        <v>45808.4976638889</v>
      </c>
      <c r="I100" s="26" t="s">
        <v>36</v>
      </c>
    </row>
    <row r="101" ht="36" customHeight="1" spans="1:10">
      <c r="A101" s="19" t="s">
        <v>145</v>
      </c>
      <c r="B101" s="32" t="str">
        <f t="shared" si="13"/>
        <v>@hox2017chapter2</v>
      </c>
      <c r="C101" s="33" t="str">
        <f t="shared" si="14"/>
        <v>[@hox2017chapter2]</v>
      </c>
      <c r="D101" s="34" t="str">
        <f t="shared" si="15"/>
        <v>2017</v>
      </c>
      <c r="E101" s="34" t="str">
        <f t="shared" si="16"/>
        <v>Hox, Joop J. and Moerbeek, Mirjam and van de Schoot, Rens</v>
      </c>
      <c r="F101" s="35" t="str">
        <f t="shared" si="19"/>
        <v>The Basic Two-Level Regression Model</v>
      </c>
      <c r="G101" s="36" t="str">
        <f t="shared" si="17"/>
        <v>https://doi.org/10.4324/9781315650982-2</v>
      </c>
      <c r="H101" s="37">
        <f ca="1" t="shared" si="18"/>
        <v>45808.500930787</v>
      </c>
      <c r="I101" s="26" t="s">
        <v>36</v>
      </c>
    </row>
    <row r="102" ht="36" customHeight="1" spans="1:10">
      <c r="A102" s="19" t="s">
        <v>146</v>
      </c>
      <c r="B102" s="32" t="str">
        <f t="shared" si="13"/>
        <v>@Tsai2008</v>
      </c>
      <c r="C102" s="33" t="str">
        <f t="shared" si="14"/>
        <v>[@Tsai2008]</v>
      </c>
      <c r="D102" s="34" t="str">
        <f t="shared" si="15"/>
        <v>2008</v>
      </c>
      <c r="E102" s="34" t="str">
        <f t="shared" si="16"/>
        <v>Tsai,  Yi-Miau and Kunter,  Mareike and L\"{u</v>
      </c>
      <c r="F102" s="35" t="str">
        <f t="shared" si="19"/>
        <v>What makes lessons interesting? The role of situational and individual factors in three school subjects.</v>
      </c>
      <c r="G102" s="36" t="str">
        <f t="shared" si="17"/>
        <v>https://doi.org/10.1037/0022-0663.100.2.460</v>
      </c>
      <c r="H102" s="37">
        <f ca="1" t="shared" si="18"/>
        <v>45808.5026491898</v>
      </c>
      <c r="I102" s="26" t="s">
        <v>36</v>
      </c>
    </row>
    <row r="103" ht="36" customHeight="1" spans="1:10">
      <c r="A103" s="19" t="s">
        <v>147</v>
      </c>
      <c r="B103" s="32" t="str">
        <f t="shared" si="13"/>
        <v>@Nezlek2006</v>
      </c>
      <c r="C103" s="33" t="str">
        <f t="shared" si="14"/>
        <v>[@Nezlek2006]</v>
      </c>
      <c r="D103" s="34" t="str">
        <f t="shared" si="15"/>
        <v>2006</v>
      </c>
      <c r="E103" s="34" t="str">
        <f t="shared" si="16"/>
        <v>Nezlek,  John B. and Schröder-Abé,  Michela and Sch\"{u</v>
      </c>
      <c r="F103" s="35" t="str">
        <f t="shared" si="19"/>
        <v>Mehrebenenanalysen in der psychologischen Forschung</v>
      </c>
      <c r="G103" s="36" t="str">
        <f t="shared" si="17"/>
        <v>https://doi.org/10.1026/0033-3042.57.4.213</v>
      </c>
      <c r="H103" s="37">
        <f ca="1" t="shared" si="18"/>
        <v>45808.504203588</v>
      </c>
      <c r="I103" s="26" t="s">
        <v>36</v>
      </c>
    </row>
    <row r="104" ht="36" customHeight="1" spans="1:10">
      <c r="A104" s="19" t="s">
        <v>148</v>
      </c>
      <c r="B104" s="32" t="str">
        <f t="shared" si="13"/>
        <v>@Curran2011</v>
      </c>
      <c r="C104" s="33" t="str">
        <f t="shared" si="14"/>
        <v>[@Curran2011]</v>
      </c>
      <c r="D104" s="34" t="str">
        <f t="shared" si="15"/>
        <v>2011</v>
      </c>
      <c r="E104" s="34" t="str">
        <f t="shared" si="16"/>
        <v>Curran,  Patrick J. and Bauer,  Daniel J.</v>
      </c>
      <c r="F104" s="35" t="str">
        <f t="shared" si="19"/>
        <v>The Disaggregation of Within-Person and Between-Person Effects in Longitudinal Models of Change</v>
      </c>
      <c r="G104" s="36" t="str">
        <f t="shared" si="17"/>
        <v>https://doi.org/10.1146/annurev.psych.093008.100356</v>
      </c>
      <c r="H104" s="37">
        <f ca="1" t="shared" si="18"/>
        <v>45808.5067380787</v>
      </c>
      <c r="I104" s="26" t="s">
        <v>36</v>
      </c>
    </row>
    <row r="105" ht="36" customHeight="1" spans="1:10">
      <c r="A105" s="19" t="s">
        <v>149</v>
      </c>
      <c r="B105" s="32" t="str">
        <f t="shared" si="13"/>
        <v>@Koo2016</v>
      </c>
      <c r="C105" s="33" t="str">
        <f t="shared" si="14"/>
        <v>[@Koo2016]</v>
      </c>
      <c r="D105" s="34" t="str">
        <f t="shared" si="15"/>
        <v>2016</v>
      </c>
      <c r="E105" s="34" t="str">
        <f t="shared" si="16"/>
        <v>Koo,  Terry K. and Li,  Mae Y.</v>
      </c>
      <c r="F105" s="35" t="str">
        <f t="shared" si="19"/>
        <v>A Guideline of Selecting and Reporting Intraclass Correlation Coefficients for Reliability Research</v>
      </c>
      <c r="G105" s="36" t="str">
        <f t="shared" si="17"/>
        <v>https://doi.org/10.1016/j.jcm.2016.02.012</v>
      </c>
      <c r="H105" s="37">
        <f ca="1" t="shared" si="18"/>
        <v>45808.5130193287</v>
      </c>
      <c r="I105" s="26" t="s">
        <v>36</v>
      </c>
    </row>
    <row r="106" ht="36" customHeight="1" spans="1:10">
      <c r="A106" s="19" t="s">
        <v>150</v>
      </c>
      <c r="B106" s="32" t="str">
        <f t="shared" si="13"/>
        <v>@stiensmeier1985attributionsstil</v>
      </c>
      <c r="C106" s="33" t="str">
        <f t="shared" si="14"/>
        <v>[@stiensmeier1985attributionsstil]</v>
      </c>
      <c r="D106" s="34" t="str">
        <f t="shared" si="15"/>
        <v>1985</v>
      </c>
      <c r="E106" s="34" t="str">
        <f t="shared" si="16"/>
        <v>Stiensmeier, J. and Kammer, D. and Pelster, A. and Niketta, R.</v>
      </c>
      <c r="F106" s="35" t="str">
        <f t="shared" si="19"/>
        <v>{Attributionsstil und Bewertung als Risikofaktoren der Depressiven Reaktion} [Assessment of attributional style and the risk factors of depression]</v>
      </c>
      <c r="G106" s="36" t="str">
        <f t="shared" si="17"/>
        <v/>
      </c>
      <c r="H106" s="37">
        <f ca="1" t="shared" si="18"/>
        <v>45808.5537265046</v>
      </c>
      <c r="I106" s="26" t="s">
        <v>36</v>
      </c>
    </row>
    <row r="107" ht="36" customHeight="1" spans="1:10">
      <c r="A107" s="19" t="s">
        <v>151</v>
      </c>
      <c r="B107" s="32" t="str">
        <f t="shared" si="13"/>
        <v>@beck1974assessment</v>
      </c>
      <c r="C107" s="33" t="str">
        <f t="shared" si="14"/>
        <v>[@beck1974assessment]</v>
      </c>
      <c r="D107" s="34" t="str">
        <f t="shared" si="15"/>
        <v>1974</v>
      </c>
      <c r="E107" s="34" t="str">
        <f t="shared" si="16"/>
        <v>Beck, A. T. and Beamesderfer, A.</v>
      </c>
      <c r="F107" s="35" t="str">
        <f t="shared" si="19"/>
        <v>{Assessment of Depression: The Depression Inventory}</v>
      </c>
      <c r="G107" s="36" t="str">
        <f t="shared" si="17"/>
        <v/>
      </c>
      <c r="H107" s="37">
        <f ca="1" t="shared" si="18"/>
        <v>45808.5603184028</v>
      </c>
      <c r="I107" s="26" t="s">
        <v>36</v>
      </c>
    </row>
    <row r="108" ht="36" customHeight="1" spans="1:10">
      <c r="A108" s="19" t="s">
        <v>152</v>
      </c>
      <c r="B108" s="32" t="str">
        <f t="shared" si="13"/>
        <v>@Williams2016</v>
      </c>
      <c r="C108" s="33" t="str">
        <f t="shared" si="14"/>
        <v>[@Williams2016]</v>
      </c>
      <c r="D108" s="34" t="str">
        <f t="shared" si="15"/>
        <v>2016</v>
      </c>
      <c r="E108" s="34" t="str">
        <f t="shared" si="16"/>
        <v>Williams, David M. and Dunsiger, Shira and Emerson, Jessica A. and Gwaltney, Chad J. and Monti, Peter M. and Miranda, Robert Jr.</v>
      </c>
      <c r="F108" s="35" t="str">
        <f t="shared" si="19"/>
        <v>Self-paced exercise, affective response, and exercise adherence: A preliminary investigation using ecological momentary assessment</v>
      </c>
      <c r="G108" s="36" t="str">
        <f t="shared" si="17"/>
        <v>https://doi.org/10.1123/jsep.2015-0232</v>
      </c>
      <c r="H108" s="37">
        <f ca="1" t="shared" si="18"/>
        <v>45808.8634428241</v>
      </c>
      <c r="I108" s="26" t="s">
        <v>36</v>
      </c>
      <c r="J108" s="39" t="s">
        <v>153</v>
      </c>
    </row>
    <row r="109" ht="36" customHeight="1" spans="1:10">
      <c r="A109" s="19" t="s">
        <v>154</v>
      </c>
      <c r="B109" s="32" t="str">
        <f t="shared" si="13"/>
        <v>@Rhodes2015</v>
      </c>
      <c r="C109" s="33" t="str">
        <f t="shared" si="14"/>
        <v>[@Rhodes2015]</v>
      </c>
      <c r="D109" s="34" t="str">
        <f t="shared" si="15"/>
        <v>2015</v>
      </c>
      <c r="E109" s="34" t="str">
        <f t="shared" si="16"/>
        <v>Rhodes,  Ryan E. and Kates,  Andrew</v>
      </c>
      <c r="F109" s="35" t="str">
        <f t="shared" si="19"/>
        <v>Can the Affective Response to Exercise Predict Future Motives and Physical Activity Behavior? A Systematic Review of Published Evidence</v>
      </c>
      <c r="G109" s="36" t="str">
        <f t="shared" si="17"/>
        <v>https://doi.org/10.1007/s12160-015-9704-5</v>
      </c>
      <c r="H109" s="37">
        <f ca="1" t="shared" si="18"/>
        <v>45808.8784686343</v>
      </c>
      <c r="I109" s="26" t="s">
        <v>36</v>
      </c>
    </row>
    <row r="110" ht="36" customHeight="1" spans="1:10">
      <c r="A110" s="19" t="s">
        <v>155</v>
      </c>
      <c r="B110" s="32" t="str">
        <f t="shared" si="13"/>
        <v>@Stevens2020</v>
      </c>
      <c r="C110" s="33" t="str">
        <f t="shared" si="14"/>
        <v>[@Stevens2020]</v>
      </c>
      <c r="D110" s="34" t="str">
        <f t="shared" si="15"/>
        <v>2020</v>
      </c>
      <c r="E110" s="34" t="str">
        <f t="shared" si="16"/>
        <v>Stevens,  Courtney J. and Baldwin,  Austin S. and Bryan,  Angela D. and Conner,  Mark and Rhodes,  Ryan E. and Williams,  David M.</v>
      </c>
      <c r="F110" s="35" t="str">
        <f t="shared" si="19"/>
        <v>Affective Determinants of Physical Activity: A Conceptual Framework and Narrative Review</v>
      </c>
      <c r="G110" s="36" t="str">
        <f t="shared" si="17"/>
        <v>https://doi.org/10.3389/fpsyg.2020.568331</v>
      </c>
      <c r="H110" s="37">
        <f ca="1" t="shared" si="18"/>
        <v>45808.9087728009</v>
      </c>
      <c r="I110" s="26" t="s">
        <v>36</v>
      </c>
      <c r="J110" s="39" t="s">
        <v>156</v>
      </c>
    </row>
    <row r="111" ht="36" customHeight="1" spans="1:10">
      <c r="A111" s="19" t="s">
        <v>157</v>
      </c>
      <c r="B111" s="32" t="str">
        <f t="shared" si="13"/>
        <v>@Williams2014</v>
      </c>
      <c r="C111" s="33" t="str">
        <f t="shared" si="14"/>
        <v>[@Williams2014]</v>
      </c>
      <c r="D111" s="34" t="str">
        <f t="shared" si="15"/>
        <v>2014</v>
      </c>
      <c r="E111" s="34" t="str">
        <f t="shared" si="16"/>
        <v>Williams,  David M. and Evans,  Daniel R.</v>
      </c>
      <c r="F111" s="35" t="str">
        <f t="shared" si="19"/>
        <v>Current Emotion Research in Health Behavior Science</v>
      </c>
      <c r="G111" s="36" t="str">
        <f t="shared" si="17"/>
        <v>https://doi.org/10.1177/1754073914523052</v>
      </c>
      <c r="H111" s="37">
        <f ca="1" t="shared" si="18"/>
        <v>45808.9188431713</v>
      </c>
      <c r="I111" s="26" t="s">
        <v>36</v>
      </c>
    </row>
    <row r="112" ht="36" customHeight="1" spans="1:10">
      <c r="A112" s="19" t="s">
        <v>158</v>
      </c>
      <c r="B112" s="32" t="str">
        <f t="shared" si="13"/>
        <v>@Jekauc2015</v>
      </c>
      <c r="C112" s="33" t="str">
        <f t="shared" si="14"/>
        <v>[@Jekauc2015]</v>
      </c>
      <c r="D112" s="34" t="str">
        <f t="shared" si="15"/>
        <v>2015</v>
      </c>
      <c r="E112" s="34" t="str">
        <f t="shared" si="16"/>
        <v>Jekauc,  Darko</v>
      </c>
      <c r="F112" s="35" t="str">
        <f t="shared" si="19"/>
        <v>Enjoyment during Exercise Mediates the Effects of an Intervention on Exercise Adherence</v>
      </c>
      <c r="G112" s="36" t="str">
        <f t="shared" si="17"/>
        <v>https://doi.org/10.4236/psych.2015.61005</v>
      </c>
      <c r="H112" s="37">
        <f ca="1" t="shared" si="18"/>
        <v>45809.4047195602</v>
      </c>
      <c r="I112" s="26" t="s">
        <v>36</v>
      </c>
    </row>
    <row r="113" ht="36" customHeight="1" spans="1:9">
      <c r="A113" s="19" t="s">
        <v>159</v>
      </c>
      <c r="B113" s="32" t="str">
        <f t="shared" si="13"/>
        <v>@Rhodes2009</v>
      </c>
      <c r="C113" s="33" t="str">
        <f t="shared" si="14"/>
        <v>[@Rhodes2009]</v>
      </c>
      <c r="D113" s="34" t="str">
        <f t="shared" si="15"/>
        <v>2009</v>
      </c>
      <c r="E113" s="34" t="str">
        <f t="shared" si="16"/>
        <v>Rhodes,  Ryan E. and Fiala,  Bonnie and Conner,  Mark</v>
      </c>
      <c r="F113" s="35" t="str">
        <f t="shared" si="19"/>
        <v>A Review and Meta-Analysis of Affective Judgments and Physical Activity in Adult Populations</v>
      </c>
      <c r="G113" s="36" t="str">
        <f t="shared" si="17"/>
        <v>https://doi.org/10.1007/s12160-009-9147-y</v>
      </c>
      <c r="H113" s="37">
        <f ca="1" t="shared" si="18"/>
        <v>45809.4059244213</v>
      </c>
      <c r="I113" s="26" t="s">
        <v>36</v>
      </c>
    </row>
    <row r="114" ht="36" customHeight="1" spans="1:9">
      <c r="A114" s="19" t="s">
        <v>160</v>
      </c>
      <c r="B114" s="32" t="str">
        <f t="shared" si="13"/>
        <v>@McAuley1990</v>
      </c>
      <c r="C114" s="33" t="str">
        <f t="shared" si="14"/>
        <v>[@McAuley1990]</v>
      </c>
      <c r="D114" s="34" t="str">
        <f t="shared" si="15"/>
        <v>1990</v>
      </c>
      <c r="E114" s="34" t="str">
        <f t="shared" si="16"/>
        <v>McAuley, Edward and Poag, Kathleen and Gleason, Anne and Wraith, Sarah</v>
      </c>
      <c r="F114" s="35" t="str">
        <f t="shared" si="19"/>
        <v>Attrition from exercise programs: Attributional and affective perspectives</v>
      </c>
      <c r="G114" s="36" t="str">
        <f t="shared" si="17"/>
        <v/>
      </c>
      <c r="H114" s="37">
        <f ca="1" t="shared" si="18"/>
        <v>45809.4358034722</v>
      </c>
      <c r="I114" s="26" t="s">
        <v>36</v>
      </c>
    </row>
    <row r="115" ht="36" customHeight="1" spans="1:9">
      <c r="A115" s="19" t="s">
        <v>161</v>
      </c>
      <c r="B115" s="32" t="str">
        <f t="shared" si="13"/>
        <v>@Minifee1998</v>
      </c>
      <c r="C115" s="33" t="str">
        <f t="shared" si="14"/>
        <v>[@Minifee1998]</v>
      </c>
      <c r="D115" s="34" t="str">
        <f t="shared" si="15"/>
        <v>1998</v>
      </c>
      <c r="E115" s="34" t="str">
        <f t="shared" si="16"/>
        <v>Minifee,  Marcus and McAuley,  Edward</v>
      </c>
      <c r="F115" s="35" t="str">
        <f t="shared" si="19"/>
        <v>An Attributional Perspective on African American Adults’ Exercise Behavior1</v>
      </c>
      <c r="G115" s="36" t="str">
        <f t="shared" si="17"/>
        <v>https://doi.org/10.1111/j.1559-1816.1998.tb01660.x</v>
      </c>
      <c r="H115" s="37">
        <f ca="1" t="shared" si="18"/>
        <v>45809.4669783565</v>
      </c>
      <c r="I115" s="26" t="s">
        <v>36</v>
      </c>
    </row>
    <row r="116" ht="36" customHeight="1" spans="1:9">
      <c r="A116" s="19" t="s">
        <v>162</v>
      </c>
      <c r="B116" s="32" t="str">
        <f t="shared" si="13"/>
        <v>@Courneya1996</v>
      </c>
      <c r="C116" s="33" t="str">
        <f t="shared" si="14"/>
        <v>[@Courneya1996]</v>
      </c>
      <c r="D116" s="34" t="str">
        <f t="shared" si="15"/>
        <v>1996</v>
      </c>
      <c r="E116" s="34" t="str">
        <f t="shared" si="16"/>
        <v>Courneya,  Kerry S. and McAuley,  Edward</v>
      </c>
      <c r="F116" s="35" t="str">
        <f t="shared" si="19"/>
        <v>Understanding Intentions to Exercise Following a Structured Exercise Program: An Attributional Perspective1</v>
      </c>
      <c r="G116" s="36" t="str">
        <f t="shared" si="17"/>
        <v>https://doi.org/10.1111/j.1559-1816.1996.tb02738.x</v>
      </c>
      <c r="H116" s="37">
        <f ca="1" t="shared" si="18"/>
        <v>45809.4788079861</v>
      </c>
      <c r="I116" s="26" t="s">
        <v>36</v>
      </c>
    </row>
    <row r="117" ht="36" customHeight="1" spans="1:9">
      <c r="A117" s="19" t="s">
        <v>163</v>
      </c>
      <c r="B117" s="32" t="str">
        <f t="shared" si="13"/>
        <v>@Schoeneman1990</v>
      </c>
      <c r="C117" s="33" t="str">
        <f t="shared" si="14"/>
        <v>[@Schoeneman1990]</v>
      </c>
      <c r="D117" s="34" t="str">
        <f t="shared" si="15"/>
        <v>1990</v>
      </c>
      <c r="E117" s="34" t="str">
        <f t="shared" si="16"/>
        <v>Schoeneman,  Thomas J. and Curry,  Susan</v>
      </c>
      <c r="F117" s="35" t="str">
        <f t="shared" si="19"/>
        <v>Attributions for Successful and Unsuccessful Health Behavior Change</v>
      </c>
      <c r="G117" s="36" t="str">
        <f t="shared" si="17"/>
        <v>https://doi.org/10.1207/s15324834basp1104_5</v>
      </c>
      <c r="H117" s="37">
        <f ca="1" t="shared" si="18"/>
        <v>45809.4795837963</v>
      </c>
      <c r="I117" s="26" t="s">
        <v>36</v>
      </c>
    </row>
    <row r="118" ht="36" customHeight="1" spans="1:9">
      <c r="A118" s="19" t="s">
        <v>164</v>
      </c>
      <c r="B118" s="32" t="str">
        <f t="shared" si="13"/>
        <v>@Nickel2013</v>
      </c>
      <c r="C118" s="33" t="str">
        <f t="shared" si="14"/>
        <v>[@Nickel2013]</v>
      </c>
      <c r="D118" s="34" t="str">
        <f t="shared" si="15"/>
        <v>2013</v>
      </c>
      <c r="E118" s="34" t="str">
        <f t="shared" si="16"/>
        <v>Nickel,  D. and Spink,  K. and Andersen,  M. and Knox,  K.</v>
      </c>
      <c r="F118" s="35" t="str">
        <f t="shared" si="19"/>
        <v>Attributions and self-efficacy for physical activity in multiple sclerosis</v>
      </c>
      <c r="G118" s="36" t="str">
        <f t="shared" si="17"/>
        <v>https://doi.org/10.1080/13548506.2013.832783</v>
      </c>
      <c r="H118" s="37">
        <f ca="1" t="shared" si="18"/>
        <v>45809.4886825232</v>
      </c>
      <c r="I118" s="26" t="s">
        <v>36</v>
      </c>
    </row>
    <row r="119" ht="36" customHeight="1" spans="1:9">
      <c r="A119" s="19" t="s">
        <v>165</v>
      </c>
      <c r="B119" s="32" t="str">
        <f t="shared" si="13"/>
        <v>@Spink2015</v>
      </c>
      <c r="C119" s="33" t="str">
        <f t="shared" si="14"/>
        <v>[@Spink2015]</v>
      </c>
      <c r="D119" s="34" t="str">
        <f t="shared" si="15"/>
        <v>2015</v>
      </c>
      <c r="E119" s="34" t="str">
        <f t="shared" si="16"/>
        <v>Spink,  Kevin S. and Brawley,  Lawrence R. and Gyurcsik,  Nancy C.</v>
      </c>
      <c r="F119" s="35" t="str">
        <f t="shared" si="19"/>
        <v>Perceived success/failure and attributions associated with self-regulatory efficacy to meet physical activity recommendations for women with arthritis</v>
      </c>
      <c r="G119" s="36" t="str">
        <f t="shared" si="17"/>
        <v>https://doi.org/10.1080/03630242.2015.1118730</v>
      </c>
      <c r="H119" s="37">
        <f ca="1" t="shared" si="18"/>
        <v>45809.6270252315</v>
      </c>
      <c r="I119" s="26" t="s">
        <v>36</v>
      </c>
    </row>
    <row r="120" ht="36" customHeight="1" spans="1:9">
      <c r="A120" s="19" t="s">
        <v>166</v>
      </c>
      <c r="B120" s="32" t="str">
        <f t="shared" si="13"/>
        <v>@Shields2005</v>
      </c>
      <c r="C120" s="33" t="str">
        <f t="shared" si="14"/>
        <v>[@Shields2005]</v>
      </c>
      <c r="D120" s="34" t="str">
        <f t="shared" si="15"/>
        <v>2005</v>
      </c>
      <c r="E120" s="34" t="str">
        <f t="shared" si="16"/>
        <v>Shields,  C. A. and Brawley,  L. R. and Lindover,  T. I.</v>
      </c>
      <c r="F120" s="35" t="str">
        <f t="shared" si="19"/>
        <v>Where Perception and Reality Differ: Dropping Out Is Not the Same as Failure</v>
      </c>
      <c r="G120" s="36" t="str">
        <f t="shared" si="17"/>
        <v>https://doi.org/10.1007/s10865-005-9012-9</v>
      </c>
      <c r="H120" s="37">
        <f ca="1" t="shared" si="18"/>
        <v>45809.6370327546</v>
      </c>
      <c r="I120" s="26" t="s">
        <v>36</v>
      </c>
    </row>
    <row r="121" ht="36" customHeight="1" spans="1:9">
      <c r="A121" s="19" t="s">
        <v>167</v>
      </c>
      <c r="B121" s="32" t="str">
        <f t="shared" si="13"/>
        <v>@Emerson2015</v>
      </c>
      <c r="C121" s="33" t="str">
        <f t="shared" si="14"/>
        <v>[@Emerson2015]</v>
      </c>
      <c r="D121" s="34" t="str">
        <f t="shared" si="15"/>
        <v>2015</v>
      </c>
      <c r="E121" s="34" t="str">
        <f t="shared" si="16"/>
        <v>Emerson,  Jessica A. and Williams,  David M.</v>
      </c>
      <c r="F121" s="35" t="str">
        <f t="shared" si="19"/>
        <v>The Multifaceted Relationship Between Physical Activity and Affect</v>
      </c>
      <c r="G121" s="36" t="str">
        <f t="shared" si="17"/>
        <v>https://doi.org/10.1111/spc3.12190</v>
      </c>
      <c r="H121" s="37">
        <f ca="1" t="shared" si="18"/>
        <v>45809.6661943287</v>
      </c>
      <c r="I121" s="26" t="s">
        <v>36</v>
      </c>
    </row>
    <row r="122" ht="36" customHeight="1" spans="1:9">
      <c r="A122" s="19" t="s">
        <v>168</v>
      </c>
      <c r="B122" s="32" t="str">
        <f t="shared" si="13"/>
        <v>@Lee2016</v>
      </c>
      <c r="C122" s="33" t="str">
        <f t="shared" si="14"/>
        <v>[@Lee2016]</v>
      </c>
      <c r="D122" s="34" t="str">
        <f t="shared" si="15"/>
        <v>2016</v>
      </c>
      <c r="E122" s="34" t="str">
        <f t="shared" si="16"/>
        <v>Lee,  Harold H. and Emerson,  Jessica A. and Williams,  David M.</v>
      </c>
      <c r="F122" s="35" t="str">
        <f t="shared" si="19"/>
        <v>The exercise-affect–adherence pathway: An evolutionary perspective</v>
      </c>
      <c r="G122" s="36" t="str">
        <f t="shared" si="17"/>
        <v>https://doi.org/10.3389/fpsyg.2016.01285</v>
      </c>
      <c r="H122" s="37">
        <f ca="1" t="shared" si="18"/>
        <v>45809.674077662</v>
      </c>
      <c r="I122" s="26" t="s">
        <v>36</v>
      </c>
    </row>
    <row r="123" ht="36" customHeight="1" spans="1:9">
      <c r="A123" s="19" t="s">
        <v>169</v>
      </c>
      <c r="B123" s="32" t="str">
        <f t="shared" si="13"/>
        <v>@Ekkekakis2003</v>
      </c>
      <c r="C123" s="33" t="str">
        <f t="shared" si="14"/>
        <v>[@Ekkekakis2003]</v>
      </c>
      <c r="D123" s="34" t="str">
        <f t="shared" si="15"/>
        <v>2003</v>
      </c>
      <c r="E123" s="34" t="str">
        <f t="shared" si="16"/>
        <v>Ekkekakis,  Panteleimon</v>
      </c>
      <c r="F123" s="35" t="str">
        <f t="shared" si="19"/>
        <v>Pleasure and displeasure from the body: Perspectives from exercise</v>
      </c>
      <c r="G123" s="36" t="str">
        <f t="shared" si="17"/>
        <v>https://doi.org/10.1080/02699930302292</v>
      </c>
      <c r="H123" s="37">
        <f ca="1" t="shared" si="18"/>
        <v>45809.6817934028</v>
      </c>
      <c r="I123" s="26" t="s">
        <v>36</v>
      </c>
    </row>
    <row r="124" ht="36" customHeight="1" spans="1:9">
      <c r="A124" s="19" t="s">
        <v>170</v>
      </c>
      <c r="B124" s="32" t="str">
        <f t="shared" si="13"/>
        <v>@Ekkekakis2005</v>
      </c>
      <c r="C124" s="33" t="str">
        <f t="shared" si="14"/>
        <v>[@Ekkekakis2005]</v>
      </c>
      <c r="D124" s="34" t="str">
        <f t="shared" si="15"/>
        <v>2005</v>
      </c>
      <c r="E124" s="34" t="str">
        <f t="shared" si="16"/>
        <v>Ekkekakis, Panteleimon</v>
      </c>
      <c r="F124" s="35" t="str">
        <f t="shared" si="19"/>
        <v>Exercise and affect — the study of affective responses to acute exercise: The dual-mode model</v>
      </c>
      <c r="G124" s="36" t="str">
        <f t="shared" si="17"/>
        <v/>
      </c>
      <c r="H124" s="37">
        <f ca="1" t="shared" si="18"/>
        <v>45809.6862875</v>
      </c>
      <c r="I124" s="26" t="s">
        <v>36</v>
      </c>
    </row>
    <row r="125" ht="36" customHeight="1" spans="1:9">
      <c r="A125" s="19" t="s">
        <v>171</v>
      </c>
      <c r="B125" s="32" t="str">
        <f t="shared" si="13"/>
        <v>@Nosek2018</v>
      </c>
      <c r="C125" s="33" t="str">
        <f t="shared" si="14"/>
        <v>[@Nosek2018]</v>
      </c>
      <c r="D125" s="34" t="str">
        <f t="shared" si="15"/>
        <v>2018</v>
      </c>
      <c r="E125" s="34" t="str">
        <f t="shared" si="16"/>
        <v>Nosek,  Brian A. and Ebersole,  Charles R. and DeHaven,  Alexander C. and Mellor,  David T.</v>
      </c>
      <c r="F125" s="35" t="str">
        <f t="shared" si="19"/>
        <v>The preregistration revolution</v>
      </c>
      <c r="G125" s="36" t="str">
        <f t="shared" si="17"/>
        <v>https://doi.org/10.1073/pnas.1708274114</v>
      </c>
      <c r="H125" s="37">
        <f ca="1" t="shared" si="18"/>
        <v>45809.7407877315</v>
      </c>
      <c r="I125" s="26" t="s">
        <v>36</v>
      </c>
    </row>
    <row r="126" ht="36" customHeight="1" spans="1:9">
      <c r="A126" s="19" t="s">
        <v>172</v>
      </c>
      <c r="B126" s="32" t="str">
        <f t="shared" si="13"/>
        <v>@Aust2012</v>
      </c>
      <c r="C126" s="33" t="str">
        <f t="shared" si="14"/>
        <v>[@Aust2012]</v>
      </c>
      <c r="D126" s="34" t="str">
        <f t="shared" si="15"/>
        <v>2012</v>
      </c>
      <c r="E126" s="34" t="str">
        <f t="shared" si="16"/>
        <v>Aust,  Frederik and Diedenhofen,  Birk and Ullrich,  Sebastian and Musch,  Jochen</v>
      </c>
      <c r="F126" s="35" t="str">
        <f t="shared" si="19"/>
        <v>Seriousness checks are useful to improve data validity in online research</v>
      </c>
      <c r="G126" s="36" t="str">
        <f t="shared" si="17"/>
        <v>https://doi.org/10.3758/s13428-012-0265-2</v>
      </c>
      <c r="H126" s="37">
        <f ca="1" t="shared" si="18"/>
        <v>45809.7478391204</v>
      </c>
      <c r="I126" s="26" t="s">
        <v>36</v>
      </c>
    </row>
    <row r="127" ht="36" customHeight="1" spans="1:9">
      <c r="A127" s="19" t="s">
        <v>173</v>
      </c>
      <c r="B127" s="32" t="str">
        <f t="shared" si="13"/>
        <v>@Sallis1990</v>
      </c>
      <c r="C127" s="33" t="str">
        <f t="shared" si="14"/>
        <v>[@Sallis1990]</v>
      </c>
      <c r="D127" s="34" t="str">
        <f t="shared" si="15"/>
        <v>1990</v>
      </c>
      <c r="E127" s="34" t="str">
        <f t="shared" si="16"/>
        <v>Sallis,  JamesF. and Hovell,  MelbourneF. and Hofstetter,  C.Richard and Elder,  JohnP. and Faucher,  Patricia and Spry,  VivienM. and Barrington,  Elizabeth and Hackley,  Mimi</v>
      </c>
      <c r="F127" s="35" t="str">
        <f t="shared" si="19"/>
        <v>Lifetime history of relapse from exercise</v>
      </c>
      <c r="G127" s="36" t="str">
        <f t="shared" si="17"/>
        <v>https://doi.org/10.1016/0306-4603(90)90059-7</v>
      </c>
      <c r="H127" s="37">
        <f ca="1" t="shared" si="18"/>
        <v>45809.7578239583</v>
      </c>
      <c r="I127" s="26" t="s">
        <v>36</v>
      </c>
    </row>
    <row r="128" ht="36" customHeight="1" spans="1:9">
      <c r="A128" s="19" t="s">
        <v>174</v>
      </c>
      <c r="B128" s="32" t="str">
        <f t="shared" si="13"/>
        <v>@Irvin1999</v>
      </c>
      <c r="C128" s="33" t="str">
        <f t="shared" si="14"/>
        <v>[@Irvin1999]</v>
      </c>
      <c r="D128" s="34" t="str">
        <f t="shared" si="15"/>
        <v>1999</v>
      </c>
      <c r="E128" s="34" t="str">
        <f t="shared" si="16"/>
        <v>Irvin,  Jennifer E. and Bowers,  Clint A. and Dunn,  Michael E. and Wang,  Morgan C.</v>
      </c>
      <c r="F128" s="35" t="str">
        <f t="shared" si="19"/>
        <v>Efficacy of relapse prevention: A meta-analytic review.</v>
      </c>
      <c r="G128" s="36" t="str">
        <f t="shared" si="17"/>
        <v>https://doi.org/10.1037/0022-006x.67.4.563</v>
      </c>
      <c r="H128" s="37">
        <f ca="1" t="shared" si="18"/>
        <v>45809.7657834491</v>
      </c>
      <c r="I128" s="26" t="s">
        <v>36</v>
      </c>
    </row>
    <row r="129" ht="36" customHeight="1" spans="1:11">
      <c r="A129" s="19" t="s">
        <v>175</v>
      </c>
      <c r="B129" s="32" t="str">
        <f t="shared" si="13"/>
        <v>@Witkiewitz2009</v>
      </c>
      <c r="C129" s="33" t="str">
        <f t="shared" si="14"/>
        <v>[@Witkiewitz2009]</v>
      </c>
      <c r="D129" s="34" t="str">
        <f t="shared" si="15"/>
        <v>2009</v>
      </c>
      <c r="E129" s="34" t="str">
        <f t="shared" si="16"/>
        <v>Witkiewitz,  Katie and Marlatt,  G. Alan</v>
      </c>
      <c r="F129" s="35" t="str">
        <f t="shared" si="19"/>
        <v>Relapse prevention for alcohol and drug problems: That was Zen,  this is Tao.</v>
      </c>
      <c r="G129" s="36" t="str">
        <f t="shared" si="17"/>
        <v>https://doi.org/10.1037/11855-016</v>
      </c>
      <c r="H129" s="37">
        <f ca="1" t="shared" si="18"/>
        <v>45809.7689259259</v>
      </c>
      <c r="I129" s="26" t="s">
        <v>36</v>
      </c>
    </row>
    <row r="130" ht="36" customHeight="1" spans="1:11">
      <c r="A130" s="19" t="s">
        <v>176</v>
      </c>
      <c r="B130" s="32" t="str">
        <f t="shared" si="13"/>
        <v>@Mueller2010</v>
      </c>
      <c r="C130" s="33" t="str">
        <f t="shared" si="14"/>
        <v>[@Mueller2010]</v>
      </c>
      <c r="D130" s="34" t="str">
        <f t="shared" si="15"/>
        <v>2010</v>
      </c>
      <c r="E130" s="34" t="str">
        <f t="shared" si="16"/>
        <v>Müller, C. and Winter, C. and Rosenbaum, D.</v>
      </c>
      <c r="F130" s="35" t="str">
        <f t="shared" si="19"/>
        <v>{Aktuelle objektive Messverfahren zur Erfassung körperlicher Aktivität im Vergleich zu subjektiven Erhebungsmethoden: Current objective techniques for physical activity assessment in comparison with subjective methods}</v>
      </c>
      <c r="G130" s="36" t="str">
        <f t="shared" si="17"/>
        <v/>
      </c>
      <c r="H130" s="37">
        <f ca="1" t="shared" si="18"/>
        <v>45810.433583912</v>
      </c>
      <c r="I130" s="26" t="s">
        <v>36</v>
      </c>
      <c r="K130" s="9" t="s">
        <v>177</v>
      </c>
    </row>
    <row r="131" ht="36" customHeight="1" spans="1:11">
      <c r="A131" s="19" t="s">
        <v>178</v>
      </c>
      <c r="B131" s="32" t="str">
        <f t="shared" ref="B131:B154" si="20">IFERROR("@"&amp;MID(A131,SEARCH("{",A131)+1,SEARCH(",",A131)-SEARCH("{",A131)-1),"")</f>
        <v>@Vanhees2005</v>
      </c>
      <c r="C131" s="33" t="str">
        <f t="shared" ref="C131:C154" si="21">"["&amp;B131&amp;"]"</f>
        <v>[@Vanhees2005]</v>
      </c>
      <c r="D131" s="34" t="str">
        <f t="shared" ref="D131:D154" si="22">IFERROR(MID(A131,SEARCH("year = {",A131)+8,4),"")</f>
        <v>2005</v>
      </c>
      <c r="E131" s="34" t="str">
        <f t="shared" ref="E131:E154" si="23">IFERROR(MID(A131,SEARCH("author = {",A131)+10,SEARCH("}",A131,SEARCH("author = {",A131))-SEARCH("author = {",A131)-10),"")</f>
        <v>Vanhees,  L. and Lefevre,  J. and Philippaerts,  R. and Martens,  M. and Huygens,  W. and Troosters,  T. and Beunen,  G.</v>
      </c>
      <c r="F131" s="35" t="str">
        <f t="shared" si="19"/>
        <v>How to assess physical activity? How to assess physical fitness?</v>
      </c>
      <c r="G131" s="36" t="str">
        <f t="shared" ref="G131:G154" si="24">IFERROR("https://doi.org/"&amp;MID(A131,SEARCH("doi = {",A131)+7,FIND("}",A131,SEARCH("doi = {",A131))-SEARCH("doi = {",A131)-7),"")</f>
        <v>https://doi.org/10.1097/01.hjr.0000161551.73095.9c</v>
      </c>
      <c r="H131" s="37">
        <f ca="1" t="shared" ref="H131:H154" si="25">IF(A131&lt;&gt;"",IF(H131&lt;&gt;"",H131,NOW()),"")</f>
        <v>45810.4457259259</v>
      </c>
      <c r="I131" s="26" t="s">
        <v>36</v>
      </c>
    </row>
    <row r="132" ht="36" customHeight="1" spans="1:11">
      <c r="A132" s="19" t="s">
        <v>179</v>
      </c>
      <c r="B132" s="32" t="str">
        <f t="shared" si="20"/>
        <v>@Kohl2000</v>
      </c>
      <c r="C132" s="33" t="str">
        <f t="shared" si="21"/>
        <v>[@Kohl2000]</v>
      </c>
      <c r="D132" s="34" t="str">
        <f t="shared" si="22"/>
        <v>2000</v>
      </c>
      <c r="E132" s="34" t="str">
        <f t="shared" si="23"/>
        <v>Kohl,  Harold W. and Fulton,  Janet E. and Caspersen,  Carl J.</v>
      </c>
      <c r="F132" s="35" t="str">
        <f t="shared" si="19"/>
        <v>Assessment of Physical Activity among Children and Adolescents: A Review and Synthesis",
  volume = {31</v>
      </c>
      <c r="G132" s="36" t="str">
        <f t="shared" si="24"/>
        <v>https://doi.org/10.1006/pmed.1999.0542</v>
      </c>
      <c r="H132" s="37">
        <f ca="1" t="shared" si="25"/>
        <v>45810.4473310185</v>
      </c>
      <c r="I132" s="26" t="s">
        <v>36</v>
      </c>
    </row>
    <row r="133" ht="36" customHeight="1" spans="1:11">
      <c r="A133" s="19" t="s">
        <v>180</v>
      </c>
      <c r="B133" s="32" t="str">
        <f t="shared" si="20"/>
        <v>@McLean2016</v>
      </c>
      <c r="C133" s="33" t="str">
        <f t="shared" si="21"/>
        <v>[@McLean2016]</v>
      </c>
      <c r="D133" s="34" t="str">
        <f t="shared" si="22"/>
        <v>2016</v>
      </c>
      <c r="E133" s="34" t="str">
        <f t="shared" si="23"/>
        <v>McLean,  Sionnadh and Holden,  Melanie A. and Potia,  Tanzila and Gee,  Melanie and Mallett,  Ross and Bhanbhro,  Sadiq and Parsons,  Helen and Haywood,  Kirstie</v>
      </c>
      <c r="F133" s="35" t="str">
        <f t="shared" si="19"/>
        <v>Quality and acceptability of measures of exercise adherence in musculoskeletal settings: a systematic review</v>
      </c>
      <c r="G133" s="36" t="str">
        <f t="shared" si="24"/>
        <v>https://doi.org/10.1093/rheumatology/kew422</v>
      </c>
      <c r="H133" s="37">
        <f ca="1" t="shared" si="25"/>
        <v>45810.4788725694</v>
      </c>
      <c r="I133" s="26" t="s">
        <v>36</v>
      </c>
    </row>
    <row r="134" ht="36" customHeight="1" spans="1:11">
      <c r="A134" s="19" t="s">
        <v>181</v>
      </c>
      <c r="B134" s="32" t="str">
        <f t="shared" si="20"/>
        <v>@Duncan2002</v>
      </c>
      <c r="C134" s="33" t="str">
        <f t="shared" si="21"/>
        <v>[@Duncan2002]</v>
      </c>
      <c r="D134" s="34" t="str">
        <f t="shared" si="22"/>
        <v>2002</v>
      </c>
      <c r="E134" s="34" t="str">
        <f t="shared" si="23"/>
        <v>Duncan,  Kathleen A. and Pozehl,  Bunny</v>
      </c>
      <c r="F134" s="35" t="str">
        <f t="shared" si="19"/>
        <v>Staying on Course: The Effects of an Adherence Facilitation Intervention on Home Exercise Participation</v>
      </c>
      <c r="G134" s="36" t="str">
        <f t="shared" si="24"/>
        <v>https://doi.org/10.1111/j.0889-7204.2002.01229.x</v>
      </c>
      <c r="H134" s="37">
        <f ca="1" t="shared" si="25"/>
        <v>45810.4940299768</v>
      </c>
      <c r="I134" s="26" t="s">
        <v>36</v>
      </c>
    </row>
    <row r="135" ht="36" customHeight="1" spans="1:11">
      <c r="A135" s="19" t="s">
        <v>182</v>
      </c>
      <c r="B135" s="32" t="str">
        <f t="shared" si="20"/>
        <v>@Nigg2008</v>
      </c>
      <c r="C135" s="33" t="str">
        <f t="shared" si="21"/>
        <v>[@Nigg2008]</v>
      </c>
      <c r="D135" s="34" t="str">
        <f t="shared" si="22"/>
        <v>2008</v>
      </c>
      <c r="E135" s="34" t="str">
        <f t="shared" si="23"/>
        <v>Nigg,  Claudio R. and Borrelli,  Belinda and Maddock,  Jay and Dishman,  Rod K.</v>
      </c>
      <c r="F135" s="35" t="str">
        <f t="shared" si="19"/>
        <v>A Theory of Physical Activity Maintenance</v>
      </c>
      <c r="G135" s="36" t="str">
        <f t="shared" si="24"/>
        <v>https://doi.org/10.1111/j.1464-0597.2008.00343.x</v>
      </c>
      <c r="H135" s="37">
        <f ca="1" t="shared" si="25"/>
        <v>45810.4947136574</v>
      </c>
      <c r="I135" s="26" t="s">
        <v>36</v>
      </c>
    </row>
    <row r="136" ht="36" customHeight="1" spans="1:11">
      <c r="A136" s="19" t="s">
        <v>183</v>
      </c>
      <c r="B136" s="32" t="str">
        <f t="shared" si="20"/>
        <v>@NationalAcademies2019</v>
      </c>
      <c r="C136" s="33" t="str">
        <f t="shared" si="21"/>
        <v>[@NationalAcademies2019]</v>
      </c>
      <c r="D136" s="34" t="str">
        <f t="shared" si="22"/>
        <v>2019</v>
      </c>
      <c r="E136" s="34" t="str">
        <f t="shared" si="23"/>
        <v>{National Academies of Sciences, Engineering, and Medicine</v>
      </c>
      <c r="F136" s="35" t="str">
        <f t="shared" si="19"/>
        <v>Understanding Reproducibility and Replicability</v>
      </c>
      <c r="G136" s="36" t="str">
        <f t="shared" si="24"/>
        <v/>
      </c>
      <c r="H136" s="37">
        <f ca="1" t="shared" si="25"/>
        <v>45810.5168607639</v>
      </c>
      <c r="I136" s="26" t="s">
        <v>36</v>
      </c>
    </row>
    <row r="137" ht="36" customHeight="1" spans="1:11">
      <c r="A137" s="19" t="s">
        <v>184</v>
      </c>
      <c r="B137" s="32" t="str">
        <f t="shared" si="20"/>
        <v>@Yang2025</v>
      </c>
      <c r="C137" s="33" t="str">
        <f t="shared" si="21"/>
        <v>[@Yang2025]</v>
      </c>
      <c r="D137" s="34" t="str">
        <f t="shared" si="22"/>
        <v>2025</v>
      </c>
      <c r="E137" s="34" t="str">
        <f t="shared" si="23"/>
        <v>Yang,  Michelle Z. and Conner,  Mark and Sheeran,  Paschal</v>
      </c>
      <c r="F137" s="35" t="str">
        <f t="shared" si="19"/>
        <v>The role of affect regulation in health behavior change.</v>
      </c>
      <c r="G137" s="36" t="str">
        <f t="shared" si="24"/>
        <v>https://doi.org/10.1037/hea0001507</v>
      </c>
      <c r="H137" s="37">
        <f ca="1" t="shared" si="25"/>
        <v>45810.8566393518</v>
      </c>
      <c r="I137" s="26" t="s">
        <v>36</v>
      </c>
    </row>
    <row r="138" ht="36" customHeight="1" spans="1:11">
      <c r="A138" s="19" t="s">
        <v>185</v>
      </c>
      <c r="B138" s="32" t="str">
        <f t="shared" si="20"/>
        <v>@Gratz2004</v>
      </c>
      <c r="C138" s="33" t="str">
        <f t="shared" si="21"/>
        <v>[@Gratz2004]</v>
      </c>
      <c r="D138" s="34" t="str">
        <f t="shared" si="22"/>
        <v>2004</v>
      </c>
      <c r="E138" s="34" t="str">
        <f t="shared" si="23"/>
        <v>Gratz,  Kim L. and Roemer,  Lizabeth</v>
      </c>
      <c r="F138" s="35" t="str">
        <f t="shared" si="19"/>
        <v>Multidimensional Assessment of Emotion Regulation and Dysregulation: Development,  Factor Structure,  and Initial Validation of the Difficulties in Emotion Regulation Scale</v>
      </c>
      <c r="G138" s="36" t="str">
        <f t="shared" si="24"/>
        <v>https://doi.org/10.1023/b:joba.0000007455.08539.94</v>
      </c>
      <c r="H138" s="37">
        <f ca="1" t="shared" si="25"/>
        <v>45810.869453588</v>
      </c>
      <c r="I138" s="26" t="s">
        <v>36</v>
      </c>
    </row>
    <row r="139" ht="36" customHeight="1" spans="1:11">
      <c r="A139" s="19" t="s">
        <v>186</v>
      </c>
      <c r="B139" s="32" t="str">
        <f t="shared" si="20"/>
        <v>@Buckholdt2014</v>
      </c>
      <c r="C139" s="33" t="str">
        <f t="shared" si="21"/>
        <v>[@Buckholdt2014]</v>
      </c>
      <c r="D139" s="34" t="str">
        <f t="shared" si="22"/>
        <v>2014</v>
      </c>
      <c r="E139" s="34" t="str">
        <f t="shared" si="23"/>
        <v>Buckholdt,  Kelly E. and Parra,  Gilbert R. and Anestis,  Michael D. and Lavender,  Jason M. and Jobe-Shields,  Lisa E. and Tull,  Matthew T. and Gratz,  Kim L.</v>
      </c>
      <c r="F139" s="35" t="str">
        <f t="shared" si="19"/>
        <v>Emotion Regulation Difficulties and Maladaptive Behaviors: Examination of Deliberate Self-harm,  Disordered Eating,  and Substance Misuse in Two Samples</v>
      </c>
      <c r="G139" s="36" t="str">
        <f t="shared" si="24"/>
        <v>https://doi.org/10.1007/s10608-014-9655-3</v>
      </c>
      <c r="H139" s="37">
        <f ca="1" t="shared" si="25"/>
        <v>45810.8718251157</v>
      </c>
      <c r="I139" s="26" t="s">
        <v>36</v>
      </c>
    </row>
    <row r="140" ht="36" customHeight="1" spans="1:11">
      <c r="A140" s="41" t="s">
        <v>187</v>
      </c>
      <c r="B140" s="32" t="str">
        <f t="shared" si="20"/>
        <v>@Parfitt2009</v>
      </c>
      <c r="C140" s="33" t="str">
        <f t="shared" si="21"/>
        <v>[@Parfitt2009]</v>
      </c>
      <c r="D140" s="34" t="str">
        <f t="shared" si="22"/>
        <v>2009</v>
      </c>
      <c r="E140" s="34" t="str">
        <f t="shared" si="23"/>
        <v>Parfitt,  Gaynor and Hughes,  Sophie</v>
      </c>
      <c r="F140" s="35" t="str">
        <f t="shared" si="19"/>
        <v>The Exercise Intensity–Affect Relationship: Evidence and Implications for Exercise Behavior</v>
      </c>
      <c r="G140" s="36" t="str">
        <f t="shared" si="24"/>
        <v>https://doi.org/10.1016/s1728-869x(09)60021-6</v>
      </c>
      <c r="H140" s="37">
        <f ca="1" t="shared" si="25"/>
        <v>45810.877912963</v>
      </c>
      <c r="I140" s="26" t="s">
        <v>36</v>
      </c>
    </row>
    <row r="141" ht="36" customHeight="1" spans="1:11">
      <c r="A141" s="19" t="s">
        <v>188</v>
      </c>
      <c r="B141" s="32" t="str">
        <f t="shared" si="20"/>
        <v>@Forster2020</v>
      </c>
      <c r="C141" s="33" t="str">
        <f t="shared" si="21"/>
        <v>[@Forster2020]</v>
      </c>
      <c r="D141" s="34" t="str">
        <f t="shared" si="22"/>
        <v>2020</v>
      </c>
      <c r="E141" s="34" t="str">
        <f t="shared" si="23"/>
        <v>Forster,  Anna K. and Richards,  Elizabeth A. and Foli,  Karen J. and McGowan,  Bethany and Hass,  Zachary and Becker,  Margaret and Miller,  Ann</v>
      </c>
      <c r="F141" s="35" t="str">
        <f t="shared" si="19"/>
        <v>Influence of Affect on Physical Activity: An Integrative Review</v>
      </c>
      <c r="G141" s="36" t="str">
        <f t="shared" si="24"/>
        <v>https://doi.org/10.1177/1054773820968039</v>
      </c>
      <c r="H141" s="37">
        <f ca="1" t="shared" si="25"/>
        <v>45810.8984974537</v>
      </c>
      <c r="I141" s="26" t="s">
        <v>36</v>
      </c>
    </row>
    <row r="142" ht="36" customHeight="1" spans="1:11">
      <c r="A142" s="19" t="s">
        <v>189</v>
      </c>
      <c r="B142" s="32" t="str">
        <f t="shared" si="20"/>
        <v>@Warburton2006</v>
      </c>
      <c r="C142" s="33" t="str">
        <f t="shared" si="21"/>
        <v>[@Warburton2006]</v>
      </c>
      <c r="D142" s="34" t="str">
        <f t="shared" si="22"/>
        <v>2006</v>
      </c>
      <c r="E142" s="34" t="str">
        <f t="shared" si="23"/>
        <v>Warburton,  D. E.R.</v>
      </c>
      <c r="F142" s="35" t="str">
        <f t="shared" si="19"/>
        <v>Health benefits of physical activity: the evidence</v>
      </c>
      <c r="G142" s="36" t="str">
        <f t="shared" si="24"/>
        <v>https://doi.org/10.1503/cmaj.051351</v>
      </c>
      <c r="H142" s="37">
        <f ca="1" t="shared" si="25"/>
        <v>45810.8984974537</v>
      </c>
      <c r="I142" s="26" t="s">
        <v>36</v>
      </c>
    </row>
    <row r="143" ht="36" customHeight="1" spans="1:11">
      <c r="A143" s="19" t="s">
        <v>190</v>
      </c>
      <c r="B143" s="32" t="str">
        <f t="shared" si="20"/>
        <v>@Neufer2015</v>
      </c>
      <c r="C143" s="33" t="str">
        <f t="shared" si="21"/>
        <v>[@Neufer2015]</v>
      </c>
      <c r="D143" s="34" t="str">
        <f t="shared" si="22"/>
        <v>2015</v>
      </c>
      <c r="E143" s="34" t="str">
        <f t="shared" si="23"/>
        <v>Neufer, P. Darrell and Bamman, Marcas M. and Muoio, Deborah M. and Bouchard, Claude and Cooper, Dan M. and Goodpaster, Bret H. and Booth, Frank W. and Kohrt, Wendy M. and Gerszten, Robert E. and Mattson, Mark P. and Hepple, Russell T. and Kraus, William E. and Reid, Michael B. and Bodine, Sue C. and Jakicic, John M. and Fleg, Jerome L. and Williams, John P. and Joseph, Lyndon and Evans, Mary and Maruvada, Padma and Rodgers, Mary and Roary, Mary and Boyce, Amanda T. and Drugan, Jonelle K. and Koenig, James I. and Ingraham, Richard H. and Krotoski, Danuta and Garcia-Cazarin, Mary and McGowan, Joan A. and Laughlin, Maren R.</v>
      </c>
      <c r="F143" s="35" t="str">
        <f t="shared" si="19"/>
        <v>Understanding the cellular and molecular mechanisms of physical activity-induced health benefits</v>
      </c>
      <c r="G143" s="36" t="str">
        <f t="shared" si="24"/>
        <v>https://doi.org/10.1016/j.cmet.2015.05.011</v>
      </c>
      <c r="H143" s="37">
        <f ca="1" t="shared" si="25"/>
        <v>45810.9188913194</v>
      </c>
      <c r="I143" s="26" t="s">
        <v>36</v>
      </c>
    </row>
    <row r="144" ht="36" customHeight="1" spans="1:11">
      <c r="A144" s="19" t="s">
        <v>191</v>
      </c>
      <c r="B144" s="32" t="str">
        <f t="shared" si="20"/>
        <v>@Khan2001</v>
      </c>
      <c r="C144" s="33" t="str">
        <f t="shared" si="21"/>
        <v>[@Khan2001]</v>
      </c>
      <c r="D144" s="34" t="str">
        <f t="shared" si="22"/>
        <v>2001</v>
      </c>
      <c r="E144" s="34" t="str">
        <f t="shared" si="23"/>
        <v>Khan, Karim and McKay, Heather and Kannus, Pekka and Bailey, Don and Wark, John and Bennell, Kim</v>
      </c>
      <c r="F144" s="35" t="str">
        <f t="shared" si="19"/>
        <v>Physical activity and bone health</v>
      </c>
      <c r="G144" s="36" t="str">
        <f t="shared" si="24"/>
        <v/>
      </c>
      <c r="H144" s="37">
        <f ca="1" t="shared" si="25"/>
        <v>45810.9213385417</v>
      </c>
      <c r="I144" s="26" t="s">
        <v>36</v>
      </c>
    </row>
    <row r="145" ht="36" customHeight="1" spans="1:13">
      <c r="A145" s="19" t="s">
        <v>192</v>
      </c>
      <c r="B145" s="32" t="str">
        <f t="shared" si="20"/>
        <v>@Lubans2016</v>
      </c>
      <c r="C145" s="33" t="str">
        <f t="shared" si="21"/>
        <v>[@Lubans2016]</v>
      </c>
      <c r="D145" s="34" t="str">
        <f t="shared" si="22"/>
        <v>2016</v>
      </c>
      <c r="E145" s="34" t="str">
        <f t="shared" si="23"/>
        <v>Lubans,  David and Richards,  Justin and Hillman,  Charles and Faulkner,  Guy and Beauchamp,  Mark and Nilsson,  Michael and Kelly,  Paul and Smith,  Jordan and Raine,  Lauren and Biddle,  Stuart</v>
      </c>
      <c r="F145" s="35" t="str">
        <f t="shared" si="19"/>
        <v>Physical activity for cognitive and mental health in youth: A systematic review of mechanisms</v>
      </c>
      <c r="G145" s="36" t="str">
        <f t="shared" si="24"/>
        <v>https://doi.org/10.1542/peds.2016-1642</v>
      </c>
      <c r="H145" s="37">
        <f ca="1" t="shared" si="25"/>
        <v>45810.9241640046</v>
      </c>
      <c r="I145" s="26" t="s">
        <v>36</v>
      </c>
    </row>
    <row r="146" ht="36" customHeight="1" spans="1:13">
      <c r="A146" s="19" t="s">
        <v>193</v>
      </c>
      <c r="B146" s="32" t="str">
        <f t="shared" si="20"/>
        <v>@McNeill2006</v>
      </c>
      <c r="C146" s="33" t="str">
        <f t="shared" si="21"/>
        <v>[@McNeill2006]</v>
      </c>
      <c r="D146" s="34" t="str">
        <f t="shared" si="22"/>
        <v>2006</v>
      </c>
      <c r="E146" s="34" t="str">
        <f t="shared" si="23"/>
        <v>McNeill,  Lorna Haughton and Kreuter,  Matthew W. and Subramanian,  S.V.</v>
      </c>
      <c r="F146" s="35" t="str">
        <f t="shared" si="19"/>
        <v>Social environment and physical activity: A review of concepts and evidence</v>
      </c>
      <c r="G146" s="36" t="str">
        <f t="shared" si="24"/>
        <v>https://doi.org/10.1016/j.socscimed.2006.03.012</v>
      </c>
      <c r="H146" s="37">
        <f ca="1" t="shared" si="25"/>
        <v>45810.9305219907</v>
      </c>
      <c r="I146" s="26" t="s">
        <v>36</v>
      </c>
    </row>
    <row r="147" ht="36" customHeight="1" spans="1:13">
      <c r="A147" s="19" t="s">
        <v>194</v>
      </c>
      <c r="B147" s="32" t="str">
        <f t="shared" si="20"/>
        <v>@Sirois2018</v>
      </c>
      <c r="C147" s="33" t="str">
        <f t="shared" si="21"/>
        <v>[@Sirois2018]</v>
      </c>
      <c r="D147" s="34" t="str">
        <f t="shared" si="22"/>
        <v>2018</v>
      </c>
      <c r="E147" s="34" t="str">
        <f t="shared" si="23"/>
        <v>Sirois,  Fuschia M. and Giguère,  Benjamin</v>
      </c>
      <c r="F147" s="35" t="str">
        <f t="shared" si="19"/>
        <v>Giving in when feeling less good: Procrastination,  action control,  and social temptations</v>
      </c>
      <c r="G147" s="36" t="str">
        <f t="shared" si="24"/>
        <v>https://doi.org/10.1111/bjso.12243</v>
      </c>
      <c r="H147" s="37">
        <f ca="1" t="shared" si="25"/>
        <v>45815.9285699074</v>
      </c>
      <c r="I147" s="26" t="s">
        <v>36</v>
      </c>
    </row>
    <row r="148" ht="36" customHeight="1" spans="1:13">
      <c r="A148" s="19" t="s">
        <v>195</v>
      </c>
      <c r="B148" s="32" t="str">
        <f t="shared" si="20"/>
        <v>@Shiffman2005</v>
      </c>
      <c r="C148" s="33" t="str">
        <f t="shared" si="21"/>
        <v>[@Shiffman2005]</v>
      </c>
      <c r="D148" s="34" t="str">
        <f t="shared" si="22"/>
        <v>2005</v>
      </c>
      <c r="E148" s="34" t="str">
        <f t="shared" si="23"/>
        <v>Shiffman,  Saul and Ferguson,  Stuart G. and Gwaltney,  Chad J.</v>
      </c>
      <c r="F148" s="35" t="str">
        <f t="shared" si="19"/>
        <v>Immediate hedonic response to smoking lapses: relationship to smoking relapse,  and effects of nicotine replacement therapy</v>
      </c>
      <c r="G148" s="36" t="str">
        <f t="shared" si="24"/>
        <v>https://doi.org/10.1007/s00213-005-0175-4</v>
      </c>
      <c r="H148" s="37">
        <f ca="1" t="shared" si="25"/>
        <v>45816.4041262731</v>
      </c>
      <c r="I148" s="26" t="s">
        <v>36</v>
      </c>
    </row>
    <row r="149" ht="36" customHeight="1" spans="1:13">
      <c r="A149" s="19" t="s">
        <v>196</v>
      </c>
      <c r="B149" s="20" t="str">
        <f t="shared" ref="B147:B184" si="26">IFERROR("@"&amp;MID(A149,SEARCH("{",A149)+1,SEARCH(",",A149)-SEARCH("{",A149)-1),"")</f>
        <v>@Svendsen2022</v>
      </c>
      <c r="C149" s="21" t="str">
        <f t="shared" ref="C147:C184" si="27">"["&amp;B149&amp;"]"</f>
        <v>[@Svendsen2022]</v>
      </c>
      <c r="D149" s="22" t="str">
        <f t="shared" ref="D147:D183" si="28">IFERROR(MID(A149,SEARCH("year = {",A149)+8,4),"")</f>
        <v>2022</v>
      </c>
      <c r="E149" s="22" t="str">
        <f t="shared" ref="E147:E183" si="29">IFERROR(MID(A149,SEARCH("author = {",A149)+10,SEARCH("}",A149,SEARCH("author = {",A149))-SEARCH("author = {",A149)-10),"")</f>
        <v>Svendsen,  Malene Jagd and Sandal,  Louise Fleng and Kjær,  Per and Nicholl,  Barbara I and Cooper,  Kay and Mair,  Frances and Hartvigsen,  Jan and Stochkendahl,  Mette Jensen and Søgaard,  Karen and Mork,  Paul Jarle and Rasmussen,  Charlotte</v>
      </c>
      <c r="F149" s="23" t="str">
        <f t="shared" ref="F147:F183" si="30">IFERROR(IF(ISERROR(FIND("title =",A149)),"",MID(A149,FIND("title =",A149)+9,FIND("},",A149,FIND("title =",A149))-FIND("title =",A149)-9)),"")</f>
        <v>Using Intervention Mapping to Develop a Decision Support System–Based Smartphone App (selfBACK) to Support Self-management of Nonspecific Low Back Pain: Development and Usability Study</v>
      </c>
      <c r="G149" s="24" t="str">
        <f t="shared" ref="G147:G183" si="31">IFERROR("https://doi.org/"&amp;MID(A149,SEARCH("doi = {",A149)+7,FIND("}",A149,SEARCH("doi = {",A149))-SEARCH("doi = {",A149)-7),"")</f>
        <v>https://doi.org/10.2196/26555</v>
      </c>
      <c r="H149" s="25">
        <f ca="1" t="shared" ref="H147:H183" si="32">IF(A149&lt;&gt;"",IF(H149&lt;&gt;"",H149,NOW()),"")</f>
        <v>46094.4870949074</v>
      </c>
      <c r="I149" s="26" t="s">
        <v>197</v>
      </c>
      <c r="J149" s="27" t="s">
        <v>198</v>
      </c>
      <c r="K149" s="9" t="s">
        <v>199</v>
      </c>
    </row>
    <row r="150" ht="36" customHeight="1" spans="1:13">
      <c r="A150" s="19" t="s">
        <v>200</v>
      </c>
      <c r="B150" s="20" t="str">
        <f t="shared" si="26"/>
        <v>@Cohen1988</v>
      </c>
      <c r="C150" s="21" t="str">
        <f t="shared" si="27"/>
        <v>[@Cohen1988]</v>
      </c>
      <c r="D150" s="22" t="str">
        <f t="shared" si="28"/>
        <v>1988</v>
      </c>
      <c r="E150" s="22" t="str">
        <f t="shared" si="29"/>
        <v>Cohen, Jacob</v>
      </c>
      <c r="F150" s="23" t="str">
        <f t="shared" si="30"/>
        <v>Statistical power analysis for the behavioral sciences</v>
      </c>
      <c r="G150" s="24" t="str">
        <f t="shared" si="31"/>
        <v/>
      </c>
      <c r="H150" s="25">
        <f ca="1" t="shared" si="32"/>
        <v>46097.4688194444</v>
      </c>
      <c r="I150" s="26" t="s">
        <v>201</v>
      </c>
      <c r="J150" s="29" t="s">
        <v>202</v>
      </c>
      <c r="K150" s="9" t="s">
        <v>199</v>
      </c>
    </row>
    <row r="151" ht="36" customHeight="1" spans="1:13">
      <c r="A151" s="19" t="s">
        <v>203</v>
      </c>
      <c r="B151" s="20" t="str">
        <f t="shared" si="26"/>
        <v>@lott</v>
      </c>
      <c r="C151" s="21" t="str">
        <f t="shared" si="27"/>
        <v>[@lott]</v>
      </c>
      <c r="D151" s="22" t="str">
        <f t="shared" si="28"/>
        <v>2009</v>
      </c>
      <c r="E151" s="22" t="str">
        <f t="shared" si="29"/>
        <v>Lott,  Bernice</v>
      </c>
      <c r="F151" s="23" t="str">
        <f t="shared" si="30"/>
        <v>Multiculturalism and Diversity: A Social Psychological Perspective</v>
      </c>
      <c r="G151" s="24" t="str">
        <f t="shared" si="31"/>
        <v>https://doi.org/10.1002/9781444310191</v>
      </c>
      <c r="H151" s="25">
        <f ca="1" t="shared" si="32"/>
        <v>46102.442974537</v>
      </c>
      <c r="I151" s="26" t="s">
        <v>204</v>
      </c>
      <c r="J151" s="27" t="s">
        <v>205</v>
      </c>
      <c r="K151" s="9" t="s">
        <v>199</v>
      </c>
      <c r="M151" t="s">
        <v>206</v>
      </c>
    </row>
    <row r="152" ht="36" customHeight="1" spans="1:13">
      <c r="A152" s="19" t="s">
        <v>207</v>
      </c>
      <c r="B152" s="20" t="str">
        <f t="shared" si="26"/>
        <v>@Mazziotta2016</v>
      </c>
      <c r="C152" s="21" t="str">
        <f t="shared" si="27"/>
        <v>[@Mazziotta2016]</v>
      </c>
      <c r="D152" s="22" t="str">
        <f t="shared" si="28"/>
        <v>2016</v>
      </c>
      <c r="E152" s="22" t="str">
        <f t="shared" si="29"/>
        <v>Mazziotta,  Agostino and Piper,  Verena and Rohmann,  Anette</v>
      </c>
      <c r="F152" s="23" t="str">
        <f t="shared" si="30"/>
        <v>Interkulturelle Trainings</v>
      </c>
      <c r="G152" s="24" t="str">
        <f t="shared" si="31"/>
        <v>https://doi.org/10.1007/978-3-658-12873-9</v>
      </c>
      <c r="H152" s="25">
        <f ca="1" t="shared" si="32"/>
        <v>46102.4502083333</v>
      </c>
      <c r="I152" s="26" t="s">
        <v>204</v>
      </c>
    </row>
    <row r="153" ht="36" customHeight="1" spans="1:13">
      <c r="A153" s="19" t="s">
        <v>208</v>
      </c>
      <c r="B153" s="20" t="str">
        <f t="shared" si="26"/>
        <v>@Kinast2010</v>
      </c>
      <c r="C153" s="21" t="str">
        <f t="shared" si="27"/>
        <v>[@Kinast2010]</v>
      </c>
      <c r="D153" s="22" t="str">
        <f t="shared" si="28"/>
        <v>2010</v>
      </c>
      <c r="E153" s="22" t="str">
        <f t="shared" si="29"/>
        <v/>
      </c>
      <c r="F153" s="23" t="str">
        <f t="shared" si="30"/>
        <v>Handbook of intercultural communication and cooperation: Volume 1: Basics and areas of application</v>
      </c>
      <c r="G153" s="24" t="str">
        <f t="shared" si="31"/>
        <v/>
      </c>
      <c r="H153" s="25">
        <f ca="1" t="shared" si="32"/>
        <v>46102.4586574074</v>
      </c>
      <c r="I153" s="26" t="s">
        <v>204</v>
      </c>
    </row>
    <row r="154" ht="36" customHeight="1" spans="1:13">
      <c r="A154" s="19" t="s">
        <v>209</v>
      </c>
      <c r="B154" s="20" t="str">
        <f t="shared" si="26"/>
        <v>@Bolten2006</v>
      </c>
      <c r="C154" s="21" t="str">
        <f t="shared" si="27"/>
        <v>[@Bolten2006]</v>
      </c>
      <c r="D154" s="22" t="str">
        <f t="shared" si="28"/>
        <v>2006</v>
      </c>
      <c r="E154" s="22" t="str">
        <f t="shared" si="29"/>
        <v>Bolten, Jürgen</v>
      </c>
      <c r="F154" s="23" t="str">
        <f t="shared" si="30"/>
        <v>{Interkultureller Trainingsbedarf aus der Perspektive der Problemerfahrungen entsandter Führungskräfte}</v>
      </c>
      <c r="G154" s="24" t="str">
        <f t="shared" si="31"/>
        <v/>
      </c>
      <c r="H154" s="25">
        <f ca="1" t="shared" si="32"/>
        <v>46102.462037037</v>
      </c>
      <c r="I154" s="26" t="s">
        <v>204</v>
      </c>
    </row>
    <row r="155" ht="36" customHeight="1" spans="1:13">
      <c r="A155" s="19" t="s">
        <v>210</v>
      </c>
      <c r="B155" s="20" t="str">
        <f t="shared" si="26"/>
        <v>@Hofstede1980</v>
      </c>
      <c r="C155" s="21" t="str">
        <f t="shared" si="27"/>
        <v>[@Hofstede1980]</v>
      </c>
      <c r="D155" s="22" t="str">
        <f t="shared" si="28"/>
        <v>1980</v>
      </c>
      <c r="E155" s="22" t="str">
        <f t="shared" si="29"/>
        <v>Hofstede,  Geert</v>
      </c>
      <c r="F155" s="23" t="str">
        <f t="shared" si="30"/>
        <v>Culture and Organizations</v>
      </c>
      <c r="G155" s="24" t="str">
        <f t="shared" si="31"/>
        <v>https://doi.org/10.1080/00208825.1980.11656300</v>
      </c>
      <c r="H155" s="25">
        <f ca="1" t="shared" si="32"/>
        <v>46103.4263194444</v>
      </c>
      <c r="I155" s="26" t="s">
        <v>204</v>
      </c>
    </row>
    <row r="156" ht="36" customHeight="1" spans="1:13">
      <c r="A156" s="19" t="s">
        <v>211</v>
      </c>
      <c r="B156" s="20" t="str">
        <f t="shared" si="26"/>
        <v>@Hofstede2001</v>
      </c>
      <c r="C156" s="21" t="str">
        <f t="shared" si="27"/>
        <v>[@Hofstede2001]</v>
      </c>
      <c r="D156" s="22" t="str">
        <f t="shared" si="28"/>
        <v>2001</v>
      </c>
      <c r="E156" s="22" t="str">
        <f t="shared" si="29"/>
        <v>Hofstede,  Geert</v>
      </c>
      <c r="F156" s="23" t="str">
        <f t="shared" si="30"/>
        <v>Culture’s Recent Consequences: Using Dimension Scores in Theory and Research</v>
      </c>
      <c r="G156" s="24" t="str">
        <f t="shared" si="31"/>
        <v>https://doi.org/10.1177/147059580111002</v>
      </c>
      <c r="H156" s="25">
        <f ca="1" t="shared" si="32"/>
        <v>46103.4332638889</v>
      </c>
      <c r="I156" s="26" t="s">
        <v>204</v>
      </c>
    </row>
    <row r="157" ht="36" customHeight="1" spans="1:13">
      <c r="A157" s="19" t="s">
        <v>212</v>
      </c>
      <c r="B157" s="20" t="str">
        <f t="shared" si="26"/>
        <v>@Minkov2017</v>
      </c>
      <c r="C157" s="21" t="str">
        <f t="shared" si="27"/>
        <v>[@Minkov2017]</v>
      </c>
      <c r="D157" s="22" t="str">
        <f t="shared" si="28"/>
        <v>2017</v>
      </c>
      <c r="E157" s="22" t="str">
        <f t="shared" si="29"/>
        <v>Minkov,  Michael</v>
      </c>
      <c r="F157" s="23" t="str">
        <f t="shared" si="30"/>
        <v>A revision of Hofstede’s model of national culture: old evidence and new data from 56 countries</v>
      </c>
      <c r="G157" s="24" t="str">
        <f t="shared" si="31"/>
        <v>https://doi.org/10.1108/ccsm-03-2017-0033</v>
      </c>
      <c r="H157" s="25">
        <f ca="1" t="shared" si="32"/>
        <v>46103.4316087963</v>
      </c>
      <c r="I157" s="26" t="s">
        <v>204</v>
      </c>
      <c r="J157" s="29" t="s">
        <v>213</v>
      </c>
    </row>
    <row r="158" ht="36" customHeight="1" spans="1:13">
      <c r="A158" s="19" t="s">
        <v>214</v>
      </c>
      <c r="B158" s="20" t="str">
        <f t="shared" si="26"/>
        <v>@Ridgers2010</v>
      </c>
      <c r="C158" s="21" t="str">
        <f t="shared" si="27"/>
        <v>[@Ridgers2010]</v>
      </c>
      <c r="D158" s="22" t="str">
        <f t="shared" si="28"/>
        <v>2010</v>
      </c>
      <c r="E158" s="22" t="str">
        <f t="shared" si="29"/>
        <v>Ridgers,  Nicola D. and Stratton,  Gareth and McKenzie,  Thomas L.</v>
      </c>
      <c r="F158" s="23" t="str">
        <f t="shared" si="30"/>
        <v>Reliability and Validity of the System for Observing Children’s Activity and Relationships During Play (SOCARP)</v>
      </c>
      <c r="G158" s="24" t="str">
        <f t="shared" si="31"/>
        <v>https://doi.org/10.1123/jpah.7.1.17</v>
      </c>
      <c r="H158" s="25">
        <f ca="1" t="shared" si="32"/>
        <v>46117.4366203704</v>
      </c>
      <c r="I158" s="26" t="s">
        <v>215</v>
      </c>
    </row>
    <row r="159" ht="36" customHeight="1" spans="1:13">
      <c r="A159" s="19" t="s">
        <v>216</v>
      </c>
      <c r="B159" s="20" t="str">
        <f t="shared" si="26"/>
        <v>@hussy2013</v>
      </c>
      <c r="C159" s="21" t="str">
        <f t="shared" si="27"/>
        <v>[@hussy2013]</v>
      </c>
      <c r="D159" s="22" t="str">
        <f t="shared" si="28"/>
        <v>2013</v>
      </c>
      <c r="E159" s="22" t="str">
        <f t="shared" si="29"/>
        <v>Walter Hussy and Margrit Schreier and Gerald Echterhoff</v>
      </c>
      <c r="F159" s="23" t="str">
        <f t="shared" si="30"/>
        <v>{Forschungsmethoden in Psychologie und Sozialwissenschaften für Bachelor}</v>
      </c>
      <c r="G159" s="24" t="str">
        <f t="shared" si="31"/>
        <v>https://doi.org/10.1007/978-3-642-34362-9</v>
      </c>
      <c r="H159" s="25">
        <f ca="1" t="shared" si="32"/>
        <v>46117.4572106482</v>
      </c>
      <c r="I159" s="26"/>
      <c r="K159" s="9" t="s">
        <v>177</v>
      </c>
    </row>
    <row r="160" ht="36" customHeight="1" spans="1:13">
      <c r="A160" s="19" t="s">
        <v>217</v>
      </c>
      <c r="B160" s="20" t="str">
        <f t="shared" si="26"/>
        <v>@stahl2023expertise</v>
      </c>
      <c r="C160" s="21" t="str">
        <f t="shared" si="27"/>
        <v>[@stahl2023expertise]</v>
      </c>
      <c r="D160" s="22" t="str">
        <f t="shared" si="28"/>
        <v>2023</v>
      </c>
      <c r="E160" s="22" t="str">
        <f t="shared" si="29"/>
        <v>Stahl, Silvester</v>
      </c>
      <c r="F160" s="23" t="str">
        <f t="shared" si="30"/>
        <v>{Expertise: Migrantensportvereine als Partner der Integrations- und Verbandsarbeit – Impulse für die Praxis}</v>
      </c>
      <c r="G160" s="24" t="str">
        <f t="shared" si="31"/>
        <v/>
      </c>
      <c r="H160" s="25">
        <f ca="1" t="shared" si="32"/>
        <v>46118.4761458333</v>
      </c>
      <c r="I160" s="26"/>
      <c r="K160" s="9" t="s">
        <v>177</v>
      </c>
    </row>
    <row r="161" ht="36" customHeight="1" spans="1:11">
      <c r="A161" s="19" t="s">
        <v>218</v>
      </c>
      <c r="B161" s="20" t="str">
        <f t="shared" si="26"/>
        <v>@Biddle2008</v>
      </c>
      <c r="C161" s="21" t="str">
        <f t="shared" si="27"/>
        <v>[@Biddle2008]</v>
      </c>
      <c r="D161" s="22" t="str">
        <f t="shared" si="28"/>
        <v>2008</v>
      </c>
      <c r="E161" s="22" t="str">
        <f t="shared" si="29"/>
        <v>Biddle, Stuart J. H. and Mutrie, Nanette</v>
      </c>
      <c r="F161" s="23" t="str">
        <f t="shared" si="30"/>
        <v>Psychology of physical activity: determinants, well-being, and interventions</v>
      </c>
      <c r="G161" s="24" t="str">
        <f t="shared" si="31"/>
        <v/>
      </c>
      <c r="H161" s="25">
        <f ca="1" t="shared" si="32"/>
        <v>46119.6453356482</v>
      </c>
      <c r="I161" s="26" t="s">
        <v>32</v>
      </c>
      <c r="K161" s="9" t="s">
        <v>177</v>
      </c>
    </row>
    <row r="162" ht="36" customHeight="1" spans="1:11">
      <c r="A162" s="19" t="s">
        <v>219</v>
      </c>
      <c r="B162" s="20" t="str">
        <f t="shared" si="26"/>
        <v>@Peres2010</v>
      </c>
      <c r="C162" s="21" t="str">
        <f t="shared" si="27"/>
        <v>[@Peres2010]</v>
      </c>
      <c r="D162" s="22" t="str">
        <f t="shared" si="28"/>
        <v>2010</v>
      </c>
      <c r="E162" s="22" t="str">
        <f t="shared" si="29"/>
        <v>Peres,  Mario F. P. and Lucchetti,  Giancarlo</v>
      </c>
      <c r="F162" s="23" t="str">
        <f t="shared" si="30"/>
        <v>Coping Strategies in Chronic Pain</v>
      </c>
      <c r="G162" s="24" t="str">
        <f t="shared" si="31"/>
        <v>https://doi.org/10.1007/s11916-010-0137-3</v>
      </c>
      <c r="H162" s="25">
        <f ca="1" t="shared" si="32"/>
        <v>46119.6544212963</v>
      </c>
      <c r="I162" s="26"/>
      <c r="J162" s="29" t="s">
        <v>220</v>
      </c>
      <c r="K162" s="9" t="s">
        <v>177</v>
      </c>
    </row>
    <row r="163" ht="36" customHeight="1" spans="1:11">
      <c r="A163" s="19" t="s">
        <v>221</v>
      </c>
      <c r="B163" s="20" t="str">
        <f t="shared" si="26"/>
        <v>@Hilton2016</v>
      </c>
      <c r="C163" s="21" t="str">
        <f t="shared" si="27"/>
        <v>[@Hilton2016]</v>
      </c>
      <c r="D163" s="22" t="str">
        <f t="shared" si="28"/>
        <v>2016</v>
      </c>
      <c r="E163" s="22" t="str">
        <f t="shared" si="29"/>
        <v>Hilton,  Lara and Hempel,  Susanne and Ewing,  Brett A. and Apaydin,  Eric and Xenakis,  Lea and Newberry,  Sydne and Colaiaco,  Ben and Maher,  Alicia Ruelaz and Shanman,  Roberta M. and Sorbero,  Melony E. and Maglione,  Margaret A.</v>
      </c>
      <c r="F163" s="23" t="str">
        <f t="shared" si="30"/>
        <v>Mindfulness Meditation for Chronic Pain: Systematic Review and Meta-analysis</v>
      </c>
      <c r="G163" s="24" t="str">
        <f t="shared" si="31"/>
        <v>https://doi.org/10.1007/s12160-016-9844-2</v>
      </c>
      <c r="H163" s="25">
        <f ca="1" t="shared" si="32"/>
        <v>46119.6584837963</v>
      </c>
      <c r="I163" s="26"/>
    </row>
    <row r="164" ht="36" customHeight="1" spans="1:11">
      <c r="A164" s="19" t="s">
        <v>222</v>
      </c>
      <c r="B164" s="20" t="str">
        <f t="shared" si="26"/>
        <v>@Teuber2022</v>
      </c>
      <c r="C164" s="21" t="str">
        <f t="shared" si="27"/>
        <v>[@Teuber2022]</v>
      </c>
      <c r="D164" s="22" t="str">
        <f t="shared" si="28"/>
        <v>2022</v>
      </c>
      <c r="E164" s="22" t="str">
        <f t="shared" si="29"/>
        <v>Teuber,  Monika and Leyhr,  Daniel and Moll,  Juliane and Sudeck,  Gorden</v>
      </c>
      <c r="F164" s="23" t="str">
        <f t="shared" si="30"/>
        <v>Nudging digital physical activity breaks for home studying of university students—A randomized controlled trial during the COVID-19 pandemic with daily activity measures</v>
      </c>
      <c r="G164" s="24" t="str">
        <f t="shared" si="31"/>
        <v>https://doi.org/10.3389/fspor.2022.1024996</v>
      </c>
      <c r="H164" s="25">
        <f ca="1" t="shared" si="32"/>
        <v>46119.6691087963</v>
      </c>
      <c r="I164" s="26"/>
    </row>
    <row r="165" ht="36" customHeight="1" spans="1:11">
      <c r="A165" s="19" t="s">
        <v>223</v>
      </c>
      <c r="B165" s="20" t="str">
        <f t="shared" si="26"/>
        <v>@Gardner2012</v>
      </c>
      <c r="C165" s="21" t="str">
        <f t="shared" si="27"/>
        <v>[@Gardner2012]</v>
      </c>
      <c r="D165" s="22" t="str">
        <f t="shared" si="28"/>
        <v>2012</v>
      </c>
      <c r="E165" s="22" t="str">
        <f t="shared" si="29"/>
        <v>Gardner,  Benjamin and Lally,  Phillippa and Wardle,  Jane</v>
      </c>
      <c r="F165" s="23" t="str">
        <f t="shared" si="30"/>
        <v>Making health habitual: the psychology of ‘habit-formation’ and general practice</v>
      </c>
      <c r="G165" s="24" t="str">
        <f t="shared" si="31"/>
        <v>https://doi.org/10.3399/bjgp12x659466</v>
      </c>
      <c r="H165" s="25">
        <f ca="1" t="shared" si="32"/>
        <v>46119.673599537</v>
      </c>
      <c r="I165" s="26"/>
    </row>
    <row r="166" ht="36" customHeight="1" spans="1:11">
      <c r="A166" s="19" t="s">
        <v>224</v>
      </c>
      <c r="B166" s="20" t="str">
        <f t="shared" si="26"/>
        <v>@Lally2013</v>
      </c>
      <c r="C166" s="21" t="str">
        <f t="shared" si="27"/>
        <v>[@Lally2013]</v>
      </c>
      <c r="D166" s="22" t="str">
        <f t="shared" si="28"/>
        <v>2013</v>
      </c>
      <c r="E166" s="22" t="str">
        <f t="shared" si="29"/>
        <v>Lally,  Phillippa and Gardner,  Benjamin</v>
      </c>
      <c r="F166" s="23" t="str">
        <f t="shared" si="30"/>
        <v>Promoting habit formation</v>
      </c>
      <c r="G166" s="24" t="str">
        <f t="shared" si="31"/>
        <v>https://doi.org/10.1080/17437199.2011.603640</v>
      </c>
      <c r="H166" s="25">
        <f ca="1" t="shared" si="32"/>
        <v>46119.6759143519</v>
      </c>
      <c r="I166" s="26"/>
    </row>
    <row r="167" ht="36" customHeight="1" spans="1:11">
      <c r="A167" s="19" t="s">
        <v>225</v>
      </c>
      <c r="B167" s="20" t="str">
        <f t="shared" si="26"/>
        <v>@Fuchs2015</v>
      </c>
      <c r="C167" s="21" t="str">
        <f t="shared" si="27"/>
        <v>[@Fuchs2015]</v>
      </c>
      <c r="D167" s="22" t="str">
        <f t="shared" si="28"/>
        <v>2015</v>
      </c>
      <c r="E167" s="22" t="str">
        <f t="shared" si="29"/>
        <v>Fuchs,  Reinhard and Klaperski,  Sandra and Gerber,  Markus and Seelig,  Harald</v>
      </c>
      <c r="F167" s="23" t="str">
        <f t="shared" si="30"/>
        <v>{Messung der Bewegungs- und Sportaktivität mit dem BSA-Fragebogen: Eine methodische Zwischenbilanz}</v>
      </c>
      <c r="G167" s="24" t="str">
        <f t="shared" si="31"/>
        <v>https://doi.org/10.1026/0943-8149/a000137</v>
      </c>
      <c r="H167" s="25">
        <f ca="1" t="shared" si="32"/>
        <v>46122.5616898148</v>
      </c>
      <c r="I167" s="26"/>
    </row>
    <row r="168" ht="36" customHeight="1" spans="1:11">
      <c r="A168" s="19" t="s">
        <v>226</v>
      </c>
      <c r="B168" s="20" t="str">
        <f t="shared" si="26"/>
        <v>@Sylvia2014</v>
      </c>
      <c r="C168" s="21" t="str">
        <f t="shared" si="27"/>
        <v>[@Sylvia2014]</v>
      </c>
      <c r="D168" s="22" t="str">
        <f t="shared" si="28"/>
        <v>2014</v>
      </c>
      <c r="E168" s="22" t="str">
        <f t="shared" si="29"/>
        <v>Sylvia,  Louisa G. and Bernstein,  Emily E. and Hubbard,  Jane L. and Keating,  Leigh and Anderson,  Ellen J.</v>
      </c>
      <c r="F168" s="23" t="str">
        <f t="shared" si="30"/>
        <v>Practical Guide to Measuring Physical Activity</v>
      </c>
      <c r="G168" s="24" t="str">
        <f t="shared" si="31"/>
        <v>https://doi.org/10.1016/j.jand.2013.09.018</v>
      </c>
      <c r="H168" s="25">
        <f ca="1" t="shared" si="32"/>
        <v>46122.5616898148</v>
      </c>
      <c r="I168" s="26"/>
    </row>
    <row r="169" ht="36" customHeight="1" spans="1:11">
      <c r="A169" s="19" t="s">
        <v>227</v>
      </c>
      <c r="B169" s="20" t="str">
        <f t="shared" si="26"/>
        <v>@rheinberg1985kombiniertes</v>
      </c>
      <c r="C169" s="21" t="str">
        <f t="shared" si="27"/>
        <v>[@rheinberg1985kombiniertes]</v>
      </c>
      <c r="D169" s="22" t="str">
        <f t="shared" si="28"/>
        <v>1985</v>
      </c>
      <c r="E169" s="22" t="str">
        <f t="shared" si="29"/>
        <v>Rheinberg, F and Schliep, M</v>
      </c>
      <c r="F169" s="23" t="str">
        <f t="shared" si="30"/>
        <v>{Ein kombiniertes Trainingsprogramm zur Förderung der Rechtschreibkompetenz älterer Schüler}</v>
      </c>
      <c r="G169" s="24" t="str">
        <f t="shared" si="31"/>
        <v/>
      </c>
      <c r="H169" s="25">
        <f ca="1" t="shared" si="32"/>
        <v>46124.4648611111</v>
      </c>
      <c r="I169" s="26"/>
    </row>
    <row r="170" ht="36" customHeight="1" spans="1:11">
      <c r="A170" s="19" t="s">
        <v>228</v>
      </c>
      <c r="B170" s="20" t="str">
        <f t="shared" si="26"/>
        <v>@Deci2008</v>
      </c>
      <c r="C170" s="21" t="str">
        <f t="shared" si="27"/>
        <v>[@Deci2008]</v>
      </c>
      <c r="D170" s="22" t="str">
        <f t="shared" si="28"/>
        <v>2008</v>
      </c>
      <c r="E170" s="22" t="str">
        <f t="shared" si="29"/>
        <v>Deci,  Edward L. and Ryan,  Richard M.</v>
      </c>
      <c r="F170" s="23" t="str">
        <f t="shared" si="30"/>
        <v>Self-determination theory: A macrotheory of human motivation,  development,  and health.</v>
      </c>
      <c r="G170" s="24" t="str">
        <f t="shared" si="31"/>
        <v>https://doi.org/10.1037/a0012801</v>
      </c>
      <c r="H170" s="25">
        <f ca="1" t="shared" si="32"/>
        <v>46124.4694675926</v>
      </c>
      <c r="I170" s="26"/>
    </row>
    <row r="171" ht="36" customHeight="1" spans="1:11">
      <c r="A171" s="19" t="s">
        <v>229</v>
      </c>
      <c r="B171" s="20" t="str">
        <f t="shared" si="26"/>
        <v>@Fraser1987</v>
      </c>
      <c r="C171" s="21" t="str">
        <f t="shared" si="27"/>
        <v>[@Fraser1987]</v>
      </c>
      <c r="D171" s="22" t="str">
        <f t="shared" si="28"/>
        <v>1987</v>
      </c>
      <c r="E171" s="22" t="str">
        <f t="shared" si="29"/>
        <v>Fraser,  Barry J. and Walberg,  Herbert J. and Welch,  Wayne W. and Hattie,  John A.</v>
      </c>
      <c r="F171" s="23" t="str">
        <f t="shared" si="30"/>
        <v>Syntheses of educational productivity research</v>
      </c>
      <c r="G171" s="24" t="str">
        <f t="shared" si="31"/>
        <v>https://doi.org/10.1016/0883-0355(87)90035-8</v>
      </c>
      <c r="H171" s="25">
        <f ca="1" t="shared" si="32"/>
        <v>46124.4797453704</v>
      </c>
      <c r="I171" s="26"/>
    </row>
    <row r="172" ht="36" customHeight="1" spans="1:11">
      <c r="A172" s="19" t="s">
        <v>230</v>
      </c>
      <c r="B172" s="20" t="str">
        <f t="shared" si="26"/>
        <v>@Krug1976</v>
      </c>
      <c r="C172" s="21" t="str">
        <f t="shared" si="27"/>
        <v>[@Krug1976]</v>
      </c>
      <c r="D172" s="22" t="str">
        <f t="shared" si="28"/>
        <v>1976</v>
      </c>
      <c r="E172" s="22" t="str">
        <f t="shared" si="29"/>
        <v>Krug, S. and Hanel, J.</v>
      </c>
      <c r="F172" s="23" t="str">
        <f t="shared" si="30"/>
        <v>Evaluating an achievement motivation training program</v>
      </c>
      <c r="G172" s="24" t="str">
        <f t="shared" si="31"/>
        <v/>
      </c>
      <c r="H172" s="25">
        <f ca="1" t="shared" si="32"/>
        <v>46124.4801388889</v>
      </c>
      <c r="I172" s="26"/>
    </row>
    <row r="173" ht="36" customHeight="1" spans="1:11">
      <c r="A173" s="19" t="s">
        <v>231</v>
      </c>
      <c r="B173" s="20" t="str">
        <f t="shared" si="26"/>
        <v>@Rheinberg1980</v>
      </c>
      <c r="C173" s="21" t="str">
        <f t="shared" si="27"/>
        <v>[@Rheinberg1980]</v>
      </c>
      <c r="D173" s="22" t="str">
        <f t="shared" si="28"/>
        <v>1980</v>
      </c>
      <c r="E173" s="22" t="str">
        <f t="shared" si="29"/>
        <v>Rheinberg, Falko and Hendricks, U.</v>
      </c>
      <c r="F173" s="23" t="str">
        <f t="shared" si="30"/>
        <v>{Verbesserte Wahrnehmung eigenen Lernzuwachses. Anlage und Ergebnisse eines Unterrichtsexperiments}</v>
      </c>
      <c r="G173" s="24" t="str">
        <f t="shared" si="31"/>
        <v/>
      </c>
      <c r="H173" s="25">
        <f ca="1" t="shared" si="32"/>
        <v>46124.4801736111</v>
      </c>
      <c r="I173" s="26"/>
    </row>
    <row r="174" ht="36" customHeight="1" spans="1:11">
      <c r="A174" s="19" t="s">
        <v>232</v>
      </c>
      <c r="B174" s="20" t="str">
        <f t="shared" si="26"/>
        <v>@brandstaetter2009</v>
      </c>
      <c r="C174" s="21" t="str">
        <f t="shared" si="27"/>
        <v>[@brandstaetter2009]</v>
      </c>
      <c r="D174" s="22" t="str">
        <f t="shared" si="28"/>
        <v>2009</v>
      </c>
      <c r="E174" s="22" t="str">
        <f t="shared" si="29"/>
        <v>Brandstätter, Veronika and Otto, Jürgen H</v>
      </c>
      <c r="F174" s="23" t="str">
        <f t="shared" si="30"/>
        <v>{Handbuch der Allgemeinen Psychologie - Motivation und Emotion }</v>
      </c>
      <c r="G174" s="24" t="str">
        <f t="shared" si="31"/>
        <v>https://doi.org/</v>
      </c>
      <c r="H174" s="25">
        <f ca="1" t="shared" si="32"/>
        <v>46124.4874421296</v>
      </c>
      <c r="I174" s="26"/>
    </row>
    <row r="175" ht="36" customHeight="1" spans="1:11">
      <c r="A175" s="19" t="s">
        <v>233</v>
      </c>
      <c r="B175" s="20" t="str">
        <f t="shared" si="26"/>
        <v>@HagerHasselhorn2000</v>
      </c>
      <c r="C175" s="21" t="str">
        <f t="shared" si="27"/>
        <v>[@HagerHasselhorn2000]</v>
      </c>
      <c r="D175" s="22" t="str">
        <f t="shared" si="28"/>
        <v/>
      </c>
      <c r="E175" s="22" t="str">
        <f t="shared" si="29"/>
        <v/>
      </c>
      <c r="F175" s="23" t="str">
        <f t="shared" si="30"/>
        <v>{Evaluation psychologischer Interventionsmaßnahmen}</v>
      </c>
      <c r="G175" s="24" t="str">
        <f t="shared" si="31"/>
        <v/>
      </c>
      <c r="H175" s="25">
        <f ca="1" t="shared" si="32"/>
        <v>46125.5496643518</v>
      </c>
      <c r="I175" s="26" t="s">
        <v>234</v>
      </c>
    </row>
    <row r="176" ht="36" customHeight="1" spans="1:11">
      <c r="A176" s="19" t="s">
        <v>235</v>
      </c>
      <c r="B176" s="20" t="str">
        <f t="shared" si="26"/>
        <v>@sedlmeier_forschungsmethoden_2018</v>
      </c>
      <c r="C176" s="21" t="str">
        <f t="shared" si="27"/>
        <v>[@sedlmeier_forschungsmethoden_2018]</v>
      </c>
      <c r="D176" s="22" t="str">
        <f t="shared" si="28"/>
        <v>2018</v>
      </c>
      <c r="E176" s="22" t="str">
        <f t="shared" si="29"/>
        <v>Sedlmeier, Peter and Renkewitz, Frank</v>
      </c>
      <c r="F176" s="23" t="str">
        <f t="shared" si="30"/>
        <v>Forschungsmethoden und Statistik für Psychologen und Sozialwissenschaftler</v>
      </c>
      <c r="G176" s="24" t="str">
        <f t="shared" si="31"/>
        <v/>
      </c>
      <c r="H176" s="25">
        <f ca="1" t="shared" si="32"/>
        <v>46129.4323032407</v>
      </c>
      <c r="I176" s="26"/>
    </row>
    <row r="177" ht="36" customHeight="1" spans="1:9">
      <c r="A177" s="19" t="s">
        <v>236</v>
      </c>
      <c r="B177" s="20" t="str">
        <f t="shared" si="26"/>
        <v>@PANAS</v>
      </c>
      <c r="C177" s="21" t="str">
        <f t="shared" si="27"/>
        <v>[@PANAS]</v>
      </c>
      <c r="D177" s="22" t="str">
        <f t="shared" si="28"/>
        <v>2016</v>
      </c>
      <c r="E177" s="22" t="str">
        <f t="shared" si="29"/>
        <v>Breyer,  B. and Bluemke,  M.</v>
      </c>
      <c r="F177" s="23" t="str">
        <f t="shared" si="30"/>
        <v>Deutsche Version der Positive and Negative Affect Schedule PANAS (GESIS Panel)</v>
      </c>
      <c r="G177" s="24" t="str">
        <f t="shared" si="31"/>
        <v>https://doi.org/10.6102/ZIS242</v>
      </c>
      <c r="H177" s="25">
        <f ca="1" t="shared" si="32"/>
        <v>46129.6597453704</v>
      </c>
      <c r="I177" s="26"/>
    </row>
    <row r="178" ht="36" customHeight="1" spans="1:9">
      <c r="A178" s="19" t="s">
        <v>237</v>
      </c>
      <c r="B178" s="20" t="str">
        <f t="shared" si="26"/>
        <v>@mcauley_long-term_1993</v>
      </c>
      <c r="C178" s="21" t="str">
        <f t="shared" si="27"/>
        <v>[@mcauley_long-term_1993]</v>
      </c>
      <c r="D178" s="22" t="str">
        <f t="shared" si="28"/>
        <v>1993</v>
      </c>
      <c r="E178" s="22" t="str">
        <f t="shared" si="29"/>
        <v>McAuley, Edward and Lox, Curt and Duncan, Terry E.</v>
      </c>
      <c r="F178" s="23" t="str">
        <f t="shared" si="30"/>
        <v>Long-term maintenance of exercise, self-efficacy, and physiological change in older adults</v>
      </c>
      <c r="G178" s="24" t="str">
        <f t="shared" si="31"/>
        <v/>
      </c>
      <c r="H178" s="25">
        <f ca="1" t="shared" si="32"/>
        <v>46129.6695833333</v>
      </c>
      <c r="I178" s="26"/>
    </row>
    <row r="179" ht="36" customHeight="1" spans="1:9">
      <c r="A179" s="19" t="s">
        <v>238</v>
      </c>
      <c r="B179" s="20" t="str">
        <f t="shared" si="26"/>
        <v>@grossheinrich_panas-c-p_2020</v>
      </c>
      <c r="C179" s="21" t="str">
        <f t="shared" si="27"/>
        <v>[@grossheinrich_panas-c-p_2020]</v>
      </c>
      <c r="D179" s="22" t="str">
        <f t="shared" si="28"/>
        <v>2020</v>
      </c>
      <c r="E179" s="22" t="str">
        <f t="shared" si="29"/>
        <v>Großheinrich, N.</v>
      </c>
      <c r="F179" s="23" t="str">
        <f t="shared" si="30"/>
        <v>PANAS-C-P: Parent Version of the Positive and Negative Affect Scale for Children - deutsche Fassung</v>
      </c>
      <c r="G179" s="24" t="str">
        <f t="shared" si="31"/>
        <v>https://doi.org/10.23668/psycharchives.4491</v>
      </c>
      <c r="H179" s="25">
        <f ca="1" t="shared" si="32"/>
        <v>46131.7777199074</v>
      </c>
      <c r="I179" s="26" t="s">
        <v>215</v>
      </c>
    </row>
    <row r="180" ht="36" customHeight="1" spans="1:9">
      <c r="A180" s="19" t="s">
        <v>239</v>
      </c>
      <c r="B180" s="20" t="str">
        <f t="shared" si="26"/>
        <v>@resnick_testing_2000</v>
      </c>
      <c r="C180" s="21" t="str">
        <f t="shared" si="27"/>
        <v>[@resnick_testing_2000]</v>
      </c>
      <c r="D180" s="22" t="str">
        <f t="shared" si="28"/>
        <v>2000</v>
      </c>
      <c r="E180" s="22" t="str">
        <f t="shared" si="29"/>
        <v>Resnick, B. and Jenkins, L. S.</v>
      </c>
      <c r="F180" s="23" t="str">
        <f t="shared" si="30"/>
        <v>Testing the reliability and validity of the Self-Efficacy for Exercise Scale</v>
      </c>
      <c r="G180" s="24" t="str">
        <f t="shared" si="31"/>
        <v/>
      </c>
      <c r="H180" s="25">
        <f ca="1" t="shared" si="32"/>
        <v>46131.7778472222</v>
      </c>
      <c r="I180" s="26" t="s">
        <v>215</v>
      </c>
    </row>
    <row r="181" ht="36" customHeight="1" spans="1:9">
      <c r="A181" s="19" t="s">
        <v>240</v>
      </c>
      <c r="B181" s="20" t="str">
        <f t="shared" si="26"/>
        <v>@laurent_measure_1999</v>
      </c>
      <c r="C181" s="21" t="str">
        <f t="shared" si="27"/>
        <v>[@laurent_measure_1999]</v>
      </c>
      <c r="D181" s="22" t="str">
        <f t="shared" si="28"/>
        <v>1999</v>
      </c>
      <c r="E181" s="22" t="str">
        <f t="shared" si="29"/>
        <v>Laurent, J. and Catanzaro, S. J. and Joiner, T. E. Jr. and Rudolph, K. D. and Potter, K. I. and Lambert, S. and Osborne, L. and Gathright, T.</v>
      </c>
      <c r="F181" s="23" t="str">
        <f t="shared" si="30"/>
        <v>A measure of positive and negative affect for children: Scale development and preliminary validation</v>
      </c>
      <c r="G181" s="24" t="str">
        <f t="shared" si="31"/>
        <v>https://doi.org/10.1037/1040-3590.11.3.326</v>
      </c>
      <c r="H181" s="25">
        <f ca="1" t="shared" si="32"/>
        <v>46131.7779398148</v>
      </c>
      <c r="I181" s="26" t="s">
        <v>215</v>
      </c>
    </row>
    <row r="182" ht="36" customHeight="1" spans="1:9">
      <c r="A182" s="19" t="s">
        <v>241</v>
      </c>
      <c r="B182" s="20" t="str">
        <f t="shared" si="26"/>
        <v>@Wisniewski2019</v>
      </c>
      <c r="C182" s="21" t="str">
        <f t="shared" si="27"/>
        <v>[@Wisniewski2019]</v>
      </c>
      <c r="D182" s="22" t="str">
        <f t="shared" si="28"/>
        <v>2019</v>
      </c>
      <c r="E182" s="22" t="str">
        <f t="shared" si="29"/>
        <v>Wisniewski,  Hannah and Liu,  Gang and Henson,  Philip and Vaidyam,  Aditya and Hajratalli,  Narissa Karima and Onnela,  Jukka-Pekka and Torous,  John</v>
      </c>
      <c r="F182" s="23" t="str">
        <f t="shared" si="30"/>
        <v>Understanding the quality,  effectiveness and attributes of top-rated smartphone health apps</v>
      </c>
      <c r="G182" s="24" t="str">
        <f t="shared" si="31"/>
        <v>https://doi.org/10.1136/ebmental-2018-300069</v>
      </c>
      <c r="H182" s="25">
        <f ca="1" t="shared" si="32"/>
        <v>46132.6110416667</v>
      </c>
      <c r="I182" s="26"/>
    </row>
    <row r="183" ht="36" customHeight="1" spans="1:9">
      <c r="A183" s="19" t="s">
        <v>242</v>
      </c>
      <c r="B183" s="20" t="str">
        <f t="shared" si="26"/>
        <v>@Lee2018</v>
      </c>
      <c r="C183" s="21" t="str">
        <f t="shared" si="27"/>
        <v>[@Lee2018]</v>
      </c>
      <c r="D183" s="22" t="str">
        <f t="shared" si="28"/>
        <v>2018</v>
      </c>
      <c r="E183" s="22" t="str">
        <f t="shared" si="29"/>
        <v>Lee,  Mikyung and Lee,  Hyeonkyeong and Kim,  Youlim and Kim,  Junghee and Cho,  Mikyeong and Jang,  Jaeun and Jang,  Hyoeun</v>
      </c>
      <c r="F183" s="23" t="str">
        <f t="shared" si="30"/>
        <v>Mobile App-Based Health Promotion Programs: A Systematic Review of the Literature</v>
      </c>
      <c r="G183" s="24" t="str">
        <f t="shared" si="31"/>
        <v>https://doi.org/10.3390/ijerph15122838</v>
      </c>
      <c r="H183" s="25">
        <f ca="1" t="shared" si="32"/>
        <v>46132.6115509259</v>
      </c>
      <c r="I183" s="26"/>
    </row>
    <row r="184" ht="36" customHeight="1" spans="1:9">
      <c r="A184" s="19" t="s">
        <v>243</v>
      </c>
      <c r="B184" s="20" t="str">
        <f t="shared" si="26"/>
        <v>@Tracy_tale_2007</v>
      </c>
      <c r="C184" s="21" t="str">
        <f t="shared" si="27"/>
        <v>[@Tracy_tale_2007]</v>
      </c>
      <c r="D184" s="22" t="str">
        <f t="shared" ref="D184:D247" si="33">IFERROR(MID(A184,SEARCH("year = {",A184)+8,4),"")</f>
        <v>2007</v>
      </c>
      <c r="E184" s="22" t="str">
        <f t="shared" ref="E184:E247" si="34">IFERROR(MID(A184,SEARCH("author = {",A184)+10,SEARCH("}",A184,SEARCH("author = {",A184))-SEARCH("author = {",A184)-10),"")</f>
        <v>Tracy,  Jessica L. and Robins,  Richard W.</v>
      </c>
      <c r="F184" s="23" t="str">
        <f t="shared" ref="F184:F247" si="35">IFERROR(IF(ISERROR(FIND("title =",A184)),"",MID(A184,FIND("title =",A184)+9,FIND("},",A184,FIND("title =",A184))-FIND("title =",A184)-9)),"")</f>
        <v>The psychological structure of pride: A tale of two facets.</v>
      </c>
      <c r="G184" s="24" t="str">
        <f t="shared" ref="G184:G247" si="36">IFERROR("https://doi.org/"&amp;MID(A184,SEARCH("doi = {",A184)+7,FIND("}",A184,SEARCH("doi = {",A184))-SEARCH("doi = {",A184)-7),"")</f>
        <v>https://doi.org/10.1037/0022-3514.92.3.506</v>
      </c>
      <c r="H184" s="25">
        <f ca="1" t="shared" ref="H184:H247" si="37">IF(A184&lt;&gt;"",IF(H184&lt;&gt;"",H184,NOW()),"")</f>
        <v>46132.7114467593</v>
      </c>
      <c r="I184" s="26"/>
    </row>
    <row r="185" ht="36" customHeight="1" spans="1:9">
      <c r="A185" s="19" t="s">
        <v>244</v>
      </c>
      <c r="B185" s="20" t="str">
        <f t="shared" ref="B184:B247" si="38">IFERROR("@"&amp;MID(A185,SEARCH("{",A185)+1,SEARCH(",",A185)-SEARCH("{",A185)-1),"")</f>
        <v>@DOSB2024</v>
      </c>
      <c r="C185" s="21" t="str">
        <f t="shared" ref="C185:C248" si="39">"["&amp;B185&amp;"]"</f>
        <v>[@DOSB2024]</v>
      </c>
      <c r="D185" s="22" t="str">
        <f t="shared" si="33"/>
        <v>2024</v>
      </c>
      <c r="E185" s="22" t="str">
        <f t="shared" si="34"/>
        <v>{Deutscher Olympischer Sportbund</v>
      </c>
      <c r="F185" s="23" t="str">
        <f t="shared" si="35"/>
        <v>{Programmstrategie {Integration durch Sport} 2027--2029}</v>
      </c>
      <c r="G185" s="24" t="str">
        <f t="shared" si="36"/>
        <v/>
      </c>
      <c r="H185" s="25">
        <f ca="1" t="shared" si="37"/>
        <v>46141.7755902778</v>
      </c>
      <c r="I185" s="26"/>
    </row>
    <row r="186" ht="36" customHeight="1" spans="1:9">
      <c r="A186" s="19" t="s">
        <v>245</v>
      </c>
      <c r="B186" s="20" t="str">
        <f t="shared" si="38"/>
        <v>@Domin2021</v>
      </c>
      <c r="C186" s="21" t="str">
        <f t="shared" si="39"/>
        <v>[@Domin2021]</v>
      </c>
      <c r="D186" s="22" t="str">
        <f t="shared" si="33"/>
        <v>2021</v>
      </c>
      <c r="E186" s="22" t="str">
        <f t="shared" si="34"/>
        <v>Domin,  Alex and Spruijt-Metz,  Donna and Theisen,  Daniel and Ouzzahra,  Yacine and V\"{o</v>
      </c>
      <c r="F186" s="23" t="str">
        <f t="shared" si="35"/>
        <v>Smartphone-Based Interventions for Physical Activity Promotion: Scoping Review of the Evidence Over the Last 10 Years</v>
      </c>
      <c r="G186" s="24" t="str">
        <f t="shared" si="36"/>
        <v>https://doi.org/10.2196/24308</v>
      </c>
      <c r="H186" s="25">
        <f ca="1" t="shared" si="37"/>
        <v>46146.7011574074</v>
      </c>
      <c r="I186" s="26"/>
    </row>
    <row r="187" ht="36" customHeight="1" spans="1:9">
      <c r="A187" s="19" t="s">
        <v>246</v>
      </c>
      <c r="B187" s="20" t="str">
        <f t="shared" si="38"/>
        <v>@Michie2013</v>
      </c>
      <c r="C187" s="21" t="str">
        <f t="shared" si="39"/>
        <v>[@Michie2013]</v>
      </c>
      <c r="D187" s="22" t="str">
        <f t="shared" si="33"/>
        <v>2013</v>
      </c>
      <c r="E187" s="22" t="str">
        <f t="shared" si="34"/>
        <v>Michie, Susan and Richardson, Michelle and Johnston, Marie and Abraham, Charles and Francis, Jill and Hardeman, Wendy and Eccles, Martin P. and Cane, James and Wood, Caroline E.</v>
      </c>
      <c r="F187" s="23" t="str">
        <f t="shared" si="35"/>
        <v>The behavior change technique taxonomy (v1) of 93 hierarchically clustered techniques: building an international consensus for the reporting of behavior change interventions</v>
      </c>
      <c r="G187" s="24" t="str">
        <f t="shared" si="36"/>
        <v>https://doi.org/10.1007/s12160-013-9486-6</v>
      </c>
      <c r="H187" s="25">
        <f ca="1" t="shared" si="37"/>
        <v>46146.70125</v>
      </c>
      <c r="I187" s="26"/>
    </row>
    <row r="188" ht="36" customHeight="1" spans="1:9">
      <c r="A188" s="19" t="s">
        <v>247</v>
      </c>
      <c r="B188" s="20" t="str">
        <f t="shared" si="38"/>
        <v>@Wu2023</v>
      </c>
      <c r="C188" s="21" t="str">
        <f t="shared" si="39"/>
        <v>[@Wu2023]</v>
      </c>
      <c r="D188" s="22" t="str">
        <f t="shared" si="33"/>
        <v>2023</v>
      </c>
      <c r="E188" s="22" t="str">
        <f t="shared" si="34"/>
        <v>Wu,  Jin and Yang,  Yuhang and Yu,  Huasen and Li,  Liqiang and Chen,  Yanying and Sun,  Youping</v>
      </c>
      <c r="F188" s="23" t="str">
        <f t="shared" si="35"/>
        <v>Comparative effectiveness of school-based exercise interventions on physical fitness in children and adolescents: a systematic review and network meta-analysis</v>
      </c>
      <c r="G188" s="24" t="str">
        <f t="shared" si="36"/>
        <v>https://doi.org/10.3389/fpubh.2023.1194779</v>
      </c>
      <c r="H188" s="25">
        <f ca="1" t="shared" si="37"/>
        <v>46160.5068171296</v>
      </c>
      <c r="I188" s="26"/>
    </row>
    <row r="189" ht="36" customHeight="1" spans="1:9">
      <c r="A189" s="19" t="s">
        <v>248</v>
      </c>
      <c r="B189" s="20" t="str">
        <f t="shared" si="38"/>
        <v>@Kriemler2011</v>
      </c>
      <c r="C189" s="21" t="str">
        <f t="shared" si="39"/>
        <v>[@Kriemler2011]</v>
      </c>
      <c r="D189" s="22" t="str">
        <f t="shared" si="33"/>
        <v>2011</v>
      </c>
      <c r="E189" s="22" t="str">
        <f t="shared" si="34"/>
        <v>Kriemler,  S and Meyer,  U and Martin,  E and van Sluijs,  E M F and Andersen,  L B and Martin,  B W</v>
      </c>
      <c r="F189" s="23" t="str">
        <f t="shared" si="35"/>
        <v>Effect of school-based interventions on physical activity and fitness in children and adolescents: a review of reviews and systematic update</v>
      </c>
      <c r="G189" s="24" t="str">
        <f t="shared" si="36"/>
        <v>https://doi.org/10.1136/bjsports-2011-090186</v>
      </c>
      <c r="H189" s="25">
        <f ca="1" t="shared" si="37"/>
        <v>46160.5074421296</v>
      </c>
      <c r="I189" s="26"/>
    </row>
    <row r="190" ht="36" customHeight="1" spans="1:9">
      <c r="A190" s="19" t="s">
        <v>249</v>
      </c>
      <c r="B190" s="20" t="str">
        <f t="shared" si="38"/>
        <v>@Malik2013</v>
      </c>
      <c r="C190" s="21" t="str">
        <f t="shared" si="39"/>
        <v>[@Malik2013]</v>
      </c>
      <c r="D190" s="22" t="str">
        <f t="shared" si="33"/>
        <v>2013</v>
      </c>
      <c r="E190" s="22" t="str">
        <f t="shared" si="34"/>
        <v>Malik,  Sumaira H. and Blake,  Holly and Suggs,  L. Suzanne</v>
      </c>
      <c r="F190" s="23" t="str">
        <f t="shared" si="35"/>
        <v>A systematic review of workplace health promotion interventions for increasing physical activity</v>
      </c>
      <c r="G190" s="24" t="str">
        <f t="shared" si="36"/>
        <v>https://doi.org/10.1111/bjhp.12052</v>
      </c>
      <c r="H190" s="25">
        <f ca="1" t="shared" si="37"/>
        <v>46160.509837963</v>
      </c>
      <c r="I190" s="26"/>
    </row>
    <row r="191" ht="36" customHeight="1" spans="1:9">
      <c r="A191" s="19" t="s">
        <v>250</v>
      </c>
      <c r="B191" s="20" t="str">
        <f t="shared" si="38"/>
        <v>@westdeutsche_zeitung_schockbilder_2018</v>
      </c>
      <c r="C191" s="21" t="str">
        <f t="shared" si="39"/>
        <v>[@westdeutsche_zeitung_schockbilder_2018]</v>
      </c>
      <c r="D191" s="22" t="str">
        <f t="shared" si="33"/>
        <v>2018</v>
      </c>
      <c r="E191" s="22" t="str">
        <f t="shared" si="34"/>
        <v>{Westdeutsche Zeitung</v>
      </c>
      <c r="F191" s="23" t="str">
        <f t="shared" si="35"/>
        <v>Schockbilder schrecken junge Nichtraucher ab</v>
      </c>
      <c r="G191" s="24" t="str">
        <f t="shared" si="36"/>
        <v/>
      </c>
      <c r="H191" s="25">
        <f ca="1" t="shared" si="37"/>
        <v>46188.454525463</v>
      </c>
      <c r="I191" s="26"/>
    </row>
    <row r="192" ht="36" customHeight="1" spans="1:9">
      <c r="A192" s="19" t="s">
        <v>251</v>
      </c>
      <c r="B192" s="20" t="str">
        <f t="shared" si="38"/>
        <v>@Wartha2016</v>
      </c>
      <c r="C192" s="21" t="str">
        <f t="shared" si="39"/>
        <v>[@Wartha2016]</v>
      </c>
      <c r="D192" s="22" t="str">
        <f t="shared" si="33"/>
        <v>2016</v>
      </c>
      <c r="E192" s="22" t="str">
        <f t="shared" si="34"/>
        <v>Wartha,  O. and Kobel,  S. and L\"{a</v>
      </c>
      <c r="F192" s="23" t="str">
        <f t="shared" si="35"/>
        <v>Entwicklung eines settingspezifischen Gesundheitsf\"{o}rderprogramms durch die Verwendung des Intervention-Mapping-Ansatzes: „Komm mit in das gesunde Boot –  Kindergarten“</v>
      </c>
      <c r="G192" s="24" t="str">
        <f t="shared" si="36"/>
        <v>https://doi.org/10.1007/s11553-016-0531-8</v>
      </c>
      <c r="H192" s="25">
        <f ca="1" t="shared" si="37"/>
        <v>46188.5461458333</v>
      </c>
      <c r="I192" s="26"/>
    </row>
    <row r="193" ht="36" customHeight="1" spans="1:9">
      <c r="A193" s="19" t="s">
        <v>252</v>
      </c>
      <c r="B193" s="20" t="str">
        <f t="shared" si="38"/>
        <v>@znl_komm_mit_2025</v>
      </c>
      <c r="C193" s="21" t="str">
        <f t="shared" si="39"/>
        <v>[@znl_komm_mit_2025]</v>
      </c>
      <c r="D193" s="22" t="str">
        <f t="shared" si="33"/>
        <v>2025</v>
      </c>
      <c r="E193" s="22" t="str">
        <f t="shared" si="34"/>
        <v>{ZNL TransferZentrum für Neurowissenschaften und Lernen, Universität Ulm</v>
      </c>
      <c r="F193" s="23" t="str">
        <f t="shared" si="35"/>
        <v>Komm mit in das gesunde Boot: Gesundheitsförderung für Kinder in Krippen, Kindergärten und Grundschulen [Informationsflyer]</v>
      </c>
      <c r="G193" s="24" t="str">
        <f t="shared" si="36"/>
        <v/>
      </c>
      <c r="H193" s="25">
        <f ca="1" t="shared" si="37"/>
        <v>46188.5497916667</v>
      </c>
      <c r="I193" s="26"/>
    </row>
    <row r="194" ht="36" customHeight="1" spans="1:9">
      <c r="A194" s="19"/>
      <c r="B194" s="20" t="str">
        <f t="shared" si="38"/>
        <v/>
      </c>
      <c r="C194" s="21" t="str">
        <f t="shared" si="39"/>
        <v>[]</v>
      </c>
      <c r="D194" s="22" t="str">
        <f t="shared" si="33"/>
        <v/>
      </c>
      <c r="E194" s="22" t="str">
        <f t="shared" si="34"/>
        <v/>
      </c>
      <c r="F194" s="23" t="str">
        <f t="shared" si="35"/>
        <v/>
      </c>
      <c r="G194" s="24" t="str">
        <f t="shared" si="36"/>
        <v/>
      </c>
      <c r="H194" s="25" t="str">
        <f ca="1" t="shared" si="37"/>
        <v/>
      </c>
      <c r="I194" s="26"/>
    </row>
    <row r="195" ht="36" customHeight="1" spans="1:9">
      <c r="A195" s="19"/>
      <c r="B195" s="20" t="str">
        <f t="shared" si="38"/>
        <v/>
      </c>
      <c r="C195" s="21" t="str">
        <f t="shared" si="39"/>
        <v>[]</v>
      </c>
      <c r="D195" s="22" t="str">
        <f t="shared" si="33"/>
        <v/>
      </c>
      <c r="E195" s="22" t="str">
        <f t="shared" si="34"/>
        <v/>
      </c>
      <c r="F195" s="23" t="str">
        <f t="shared" si="35"/>
        <v/>
      </c>
      <c r="G195" s="24" t="str">
        <f t="shared" si="36"/>
        <v/>
      </c>
      <c r="H195" s="25" t="str">
        <f ca="1" t="shared" si="37"/>
        <v/>
      </c>
      <c r="I195" s="26"/>
    </row>
    <row r="196" ht="36" customHeight="1" spans="1:9">
      <c r="A196" s="19"/>
      <c r="B196" s="20" t="str">
        <f t="shared" si="38"/>
        <v/>
      </c>
      <c r="C196" s="21" t="str">
        <f t="shared" si="39"/>
        <v>[]</v>
      </c>
      <c r="D196" s="22" t="str">
        <f t="shared" si="33"/>
        <v/>
      </c>
      <c r="E196" s="22" t="str">
        <f t="shared" si="34"/>
        <v/>
      </c>
      <c r="F196" s="23" t="str">
        <f t="shared" si="35"/>
        <v/>
      </c>
      <c r="G196" s="24" t="str">
        <f t="shared" si="36"/>
        <v/>
      </c>
      <c r="H196" s="25" t="str">
        <f ca="1" t="shared" si="37"/>
        <v/>
      </c>
      <c r="I196" s="26"/>
    </row>
    <row r="197" ht="36" customHeight="1" spans="1:9">
      <c r="A197" s="19"/>
      <c r="B197" s="20" t="str">
        <f t="shared" si="38"/>
        <v/>
      </c>
      <c r="C197" s="21" t="str">
        <f t="shared" si="39"/>
        <v>[]</v>
      </c>
      <c r="D197" s="22" t="str">
        <f t="shared" si="33"/>
        <v/>
      </c>
      <c r="E197" s="22" t="str">
        <f t="shared" si="34"/>
        <v/>
      </c>
      <c r="F197" s="23" t="str">
        <f t="shared" si="35"/>
        <v/>
      </c>
      <c r="G197" s="24" t="str">
        <f t="shared" si="36"/>
        <v/>
      </c>
      <c r="H197" s="25" t="str">
        <f ca="1" t="shared" si="37"/>
        <v/>
      </c>
      <c r="I197" s="26"/>
    </row>
    <row r="198" ht="36" customHeight="1" spans="1:9">
      <c r="A198" s="19"/>
      <c r="B198" s="20" t="str">
        <f t="shared" si="38"/>
        <v/>
      </c>
      <c r="C198" s="21" t="str">
        <f t="shared" si="39"/>
        <v>[]</v>
      </c>
      <c r="D198" s="22" t="str">
        <f t="shared" si="33"/>
        <v/>
      </c>
      <c r="E198" s="22" t="str">
        <f t="shared" si="34"/>
        <v/>
      </c>
      <c r="F198" s="23" t="str">
        <f t="shared" si="35"/>
        <v/>
      </c>
      <c r="G198" s="24" t="str">
        <f t="shared" si="36"/>
        <v/>
      </c>
      <c r="H198" s="25" t="str">
        <f ca="1" t="shared" si="37"/>
        <v/>
      </c>
      <c r="I198" s="26"/>
    </row>
    <row r="199" ht="36" customHeight="1" spans="1:9">
      <c r="A199" s="19"/>
      <c r="B199" s="20" t="str">
        <f t="shared" si="38"/>
        <v/>
      </c>
      <c r="C199" s="21" t="str">
        <f t="shared" si="39"/>
        <v>[]</v>
      </c>
      <c r="D199" s="22" t="str">
        <f t="shared" si="33"/>
        <v/>
      </c>
      <c r="E199" s="22" t="str">
        <f t="shared" si="34"/>
        <v/>
      </c>
      <c r="F199" s="23" t="str">
        <f t="shared" si="35"/>
        <v/>
      </c>
      <c r="G199" s="24" t="str">
        <f t="shared" si="36"/>
        <v/>
      </c>
      <c r="H199" s="25" t="str">
        <f ca="1" t="shared" si="37"/>
        <v/>
      </c>
      <c r="I199" s="26"/>
    </row>
    <row r="200" ht="36" customHeight="1" spans="1:9">
      <c r="A200" s="19"/>
      <c r="B200" s="20" t="str">
        <f t="shared" si="38"/>
        <v/>
      </c>
      <c r="C200" s="21" t="str">
        <f t="shared" si="39"/>
        <v>[]</v>
      </c>
      <c r="D200" s="22" t="str">
        <f t="shared" si="33"/>
        <v/>
      </c>
      <c r="E200" s="22" t="str">
        <f t="shared" si="34"/>
        <v/>
      </c>
      <c r="F200" s="23" t="str">
        <f t="shared" si="35"/>
        <v/>
      </c>
      <c r="G200" s="24" t="str">
        <f t="shared" si="36"/>
        <v/>
      </c>
      <c r="H200" s="25" t="str">
        <f ca="1" t="shared" si="37"/>
        <v/>
      </c>
      <c r="I200" s="26"/>
    </row>
    <row r="201" ht="36" customHeight="1" spans="1:9">
      <c r="A201" s="19"/>
      <c r="B201" s="20" t="str">
        <f t="shared" si="38"/>
        <v/>
      </c>
      <c r="C201" s="21" t="str">
        <f t="shared" si="39"/>
        <v>[]</v>
      </c>
      <c r="D201" s="22" t="str">
        <f t="shared" si="33"/>
        <v/>
      </c>
      <c r="E201" s="22" t="str">
        <f t="shared" si="34"/>
        <v/>
      </c>
      <c r="F201" s="23" t="str">
        <f t="shared" si="35"/>
        <v/>
      </c>
      <c r="G201" s="24" t="str">
        <f t="shared" si="36"/>
        <v/>
      </c>
      <c r="H201" s="25" t="str">
        <f ca="1" t="shared" si="37"/>
        <v/>
      </c>
      <c r="I201" s="26"/>
    </row>
    <row r="202" ht="36" customHeight="1" spans="1:9">
      <c r="A202" s="19"/>
      <c r="B202" s="20" t="str">
        <f t="shared" si="38"/>
        <v/>
      </c>
      <c r="C202" s="21" t="str">
        <f t="shared" si="39"/>
        <v>[]</v>
      </c>
      <c r="D202" s="22" t="str">
        <f t="shared" si="33"/>
        <v/>
      </c>
      <c r="E202" s="22" t="str">
        <f t="shared" si="34"/>
        <v/>
      </c>
      <c r="F202" s="23" t="str">
        <f t="shared" si="35"/>
        <v/>
      </c>
      <c r="G202" s="24" t="str">
        <f t="shared" si="36"/>
        <v/>
      </c>
      <c r="H202" s="25" t="str">
        <f ca="1" t="shared" si="37"/>
        <v/>
      </c>
      <c r="I202" s="26"/>
    </row>
    <row r="203" ht="36" customHeight="1" spans="1:9">
      <c r="A203" s="19"/>
      <c r="B203" s="20" t="str">
        <f t="shared" si="38"/>
        <v/>
      </c>
      <c r="C203" s="21" t="str">
        <f t="shared" si="39"/>
        <v>[]</v>
      </c>
      <c r="D203" s="22" t="str">
        <f t="shared" si="33"/>
        <v/>
      </c>
      <c r="E203" s="22" t="str">
        <f t="shared" si="34"/>
        <v/>
      </c>
      <c r="F203" s="23" t="str">
        <f t="shared" si="35"/>
        <v/>
      </c>
      <c r="G203" s="24" t="str">
        <f t="shared" si="36"/>
        <v/>
      </c>
      <c r="H203" s="25" t="str">
        <f ca="1" t="shared" si="37"/>
        <v/>
      </c>
      <c r="I203" s="26"/>
    </row>
    <row r="204" ht="36" customHeight="1" spans="1:9">
      <c r="A204" s="19"/>
      <c r="B204" s="20" t="str">
        <f t="shared" si="38"/>
        <v/>
      </c>
      <c r="C204" s="21" t="str">
        <f t="shared" si="39"/>
        <v>[]</v>
      </c>
      <c r="D204" s="22" t="str">
        <f t="shared" si="33"/>
        <v/>
      </c>
      <c r="E204" s="22" t="str">
        <f t="shared" si="34"/>
        <v/>
      </c>
      <c r="F204" s="23" t="str">
        <f t="shared" si="35"/>
        <v/>
      </c>
      <c r="G204" s="24" t="str">
        <f t="shared" si="36"/>
        <v/>
      </c>
      <c r="H204" s="25" t="str">
        <f ca="1" t="shared" si="37"/>
        <v/>
      </c>
      <c r="I204" s="26"/>
    </row>
    <row r="205" ht="36" customHeight="1" spans="1:9">
      <c r="A205" s="19"/>
      <c r="B205" s="20" t="str">
        <f t="shared" si="38"/>
        <v/>
      </c>
      <c r="C205" s="21" t="str">
        <f t="shared" si="39"/>
        <v>[]</v>
      </c>
      <c r="D205" s="22" t="str">
        <f t="shared" si="33"/>
        <v/>
      </c>
      <c r="E205" s="22" t="str">
        <f t="shared" si="34"/>
        <v/>
      </c>
      <c r="F205" s="23" t="str">
        <f t="shared" si="35"/>
        <v/>
      </c>
      <c r="G205" s="24" t="str">
        <f t="shared" si="36"/>
        <v/>
      </c>
      <c r="H205" s="25" t="str">
        <f ca="1" t="shared" si="37"/>
        <v/>
      </c>
      <c r="I205" s="26"/>
    </row>
    <row r="206" ht="36" customHeight="1" spans="1:9">
      <c r="A206" s="19"/>
      <c r="B206" s="20" t="str">
        <f t="shared" si="38"/>
        <v/>
      </c>
      <c r="C206" s="21" t="str">
        <f t="shared" si="39"/>
        <v>[]</v>
      </c>
      <c r="D206" s="22" t="str">
        <f t="shared" si="33"/>
        <v/>
      </c>
      <c r="E206" s="22" t="str">
        <f t="shared" si="34"/>
        <v/>
      </c>
      <c r="F206" s="23" t="str">
        <f t="shared" si="35"/>
        <v/>
      </c>
      <c r="G206" s="24" t="str">
        <f t="shared" si="36"/>
        <v/>
      </c>
      <c r="H206" s="25" t="str">
        <f ca="1" t="shared" si="37"/>
        <v/>
      </c>
      <c r="I206" s="26"/>
    </row>
    <row r="207" ht="36" customHeight="1" spans="1:9">
      <c r="A207" s="19"/>
      <c r="B207" s="20" t="str">
        <f t="shared" si="38"/>
        <v/>
      </c>
      <c r="C207" s="21" t="str">
        <f t="shared" si="39"/>
        <v>[]</v>
      </c>
      <c r="D207" s="22" t="str">
        <f t="shared" si="33"/>
        <v/>
      </c>
      <c r="E207" s="22" t="str">
        <f t="shared" si="34"/>
        <v/>
      </c>
      <c r="F207" s="23" t="str">
        <f t="shared" si="35"/>
        <v/>
      </c>
      <c r="G207" s="24" t="str">
        <f t="shared" si="36"/>
        <v/>
      </c>
      <c r="H207" s="25" t="str">
        <f ca="1" t="shared" si="37"/>
        <v/>
      </c>
      <c r="I207" s="26"/>
    </row>
    <row r="208" ht="36" customHeight="1" spans="1:9">
      <c r="A208" s="19"/>
      <c r="B208" s="20" t="str">
        <f t="shared" si="38"/>
        <v/>
      </c>
      <c r="C208" s="21" t="str">
        <f t="shared" si="39"/>
        <v>[]</v>
      </c>
      <c r="D208" s="22" t="str">
        <f t="shared" si="33"/>
        <v/>
      </c>
      <c r="E208" s="22" t="str">
        <f t="shared" si="34"/>
        <v/>
      </c>
      <c r="F208" s="23" t="str">
        <f t="shared" si="35"/>
        <v/>
      </c>
      <c r="G208" s="24" t="str">
        <f t="shared" si="36"/>
        <v/>
      </c>
      <c r="H208" s="25" t="str">
        <f ca="1" t="shared" si="37"/>
        <v/>
      </c>
      <c r="I208" s="26"/>
    </row>
    <row r="209" ht="36" customHeight="1" spans="1:9">
      <c r="A209" s="19"/>
      <c r="B209" s="20" t="str">
        <f t="shared" si="38"/>
        <v/>
      </c>
      <c r="C209" s="21" t="str">
        <f t="shared" si="39"/>
        <v>[]</v>
      </c>
      <c r="D209" s="22" t="str">
        <f t="shared" si="33"/>
        <v/>
      </c>
      <c r="E209" s="22" t="str">
        <f t="shared" si="34"/>
        <v/>
      </c>
      <c r="F209" s="23" t="str">
        <f t="shared" si="35"/>
        <v/>
      </c>
      <c r="G209" s="24" t="str">
        <f t="shared" si="36"/>
        <v/>
      </c>
      <c r="H209" s="25" t="str">
        <f ca="1" t="shared" si="37"/>
        <v/>
      </c>
      <c r="I209" s="26"/>
    </row>
    <row r="210" ht="36" customHeight="1" spans="1:9">
      <c r="A210" s="19"/>
      <c r="B210" s="20" t="str">
        <f t="shared" si="38"/>
        <v/>
      </c>
      <c r="C210" s="21" t="str">
        <f t="shared" si="39"/>
        <v>[]</v>
      </c>
      <c r="D210" s="22" t="str">
        <f t="shared" si="33"/>
        <v/>
      </c>
      <c r="E210" s="22" t="str">
        <f t="shared" si="34"/>
        <v/>
      </c>
      <c r="F210" s="23" t="str">
        <f t="shared" si="35"/>
        <v/>
      </c>
      <c r="G210" s="24" t="str">
        <f t="shared" si="36"/>
        <v/>
      </c>
      <c r="H210" s="25" t="str">
        <f ca="1" t="shared" si="37"/>
        <v/>
      </c>
      <c r="I210" s="26"/>
    </row>
    <row r="211" ht="36" customHeight="1" spans="1:9">
      <c r="A211" s="19"/>
      <c r="B211" s="20" t="str">
        <f t="shared" si="38"/>
        <v/>
      </c>
      <c r="C211" s="21" t="str">
        <f t="shared" si="39"/>
        <v>[]</v>
      </c>
      <c r="D211" s="22" t="str">
        <f t="shared" si="33"/>
        <v/>
      </c>
      <c r="E211" s="22" t="str">
        <f t="shared" si="34"/>
        <v/>
      </c>
      <c r="F211" s="23" t="str">
        <f t="shared" si="35"/>
        <v/>
      </c>
      <c r="G211" s="24" t="str">
        <f t="shared" si="36"/>
        <v/>
      </c>
      <c r="H211" s="25" t="str">
        <f ca="1" t="shared" si="37"/>
        <v/>
      </c>
      <c r="I211" s="26"/>
    </row>
    <row r="212" ht="36" customHeight="1" spans="1:9">
      <c r="A212" s="19"/>
      <c r="B212" s="20" t="str">
        <f t="shared" si="38"/>
        <v/>
      </c>
      <c r="C212" s="21" t="str">
        <f t="shared" si="39"/>
        <v>[]</v>
      </c>
      <c r="D212" s="22" t="str">
        <f t="shared" si="33"/>
        <v/>
      </c>
      <c r="E212" s="22" t="str">
        <f t="shared" si="34"/>
        <v/>
      </c>
      <c r="F212" s="23" t="str">
        <f t="shared" si="35"/>
        <v/>
      </c>
      <c r="G212" s="24" t="str">
        <f t="shared" si="36"/>
        <v/>
      </c>
      <c r="H212" s="25" t="str">
        <f ca="1" t="shared" si="37"/>
        <v/>
      </c>
      <c r="I212" s="26"/>
    </row>
    <row r="213" ht="36" customHeight="1" spans="1:9">
      <c r="A213" s="19"/>
      <c r="B213" s="20" t="str">
        <f t="shared" si="38"/>
        <v/>
      </c>
      <c r="C213" s="21" t="str">
        <f t="shared" si="39"/>
        <v>[]</v>
      </c>
      <c r="D213" s="22" t="str">
        <f t="shared" si="33"/>
        <v/>
      </c>
      <c r="E213" s="22" t="str">
        <f t="shared" si="34"/>
        <v/>
      </c>
      <c r="F213" s="23" t="str">
        <f t="shared" si="35"/>
        <v/>
      </c>
      <c r="G213" s="24" t="str">
        <f t="shared" si="36"/>
        <v/>
      </c>
      <c r="H213" s="25" t="str">
        <f ca="1" t="shared" si="37"/>
        <v/>
      </c>
      <c r="I213" s="26"/>
    </row>
    <row r="214" ht="36" customHeight="1" spans="1:9">
      <c r="A214" s="19"/>
      <c r="B214" s="20" t="str">
        <f t="shared" si="38"/>
        <v/>
      </c>
      <c r="C214" s="21" t="str">
        <f t="shared" si="39"/>
        <v>[]</v>
      </c>
      <c r="D214" s="22" t="str">
        <f t="shared" si="33"/>
        <v/>
      </c>
      <c r="E214" s="22" t="str">
        <f t="shared" si="34"/>
        <v/>
      </c>
      <c r="F214" s="23" t="str">
        <f t="shared" si="35"/>
        <v/>
      </c>
      <c r="G214" s="24" t="str">
        <f t="shared" si="36"/>
        <v/>
      </c>
      <c r="H214" s="25" t="str">
        <f ca="1" t="shared" si="37"/>
        <v/>
      </c>
      <c r="I214" s="26"/>
    </row>
    <row r="215" ht="36" customHeight="1" spans="1:9">
      <c r="A215" s="19"/>
      <c r="B215" s="20" t="str">
        <f t="shared" si="38"/>
        <v/>
      </c>
      <c r="C215" s="21" t="str">
        <f t="shared" si="39"/>
        <v>[]</v>
      </c>
      <c r="D215" s="22" t="str">
        <f t="shared" si="33"/>
        <v/>
      </c>
      <c r="E215" s="22" t="str">
        <f t="shared" si="34"/>
        <v/>
      </c>
      <c r="F215" s="23" t="str">
        <f t="shared" si="35"/>
        <v/>
      </c>
      <c r="G215" s="24" t="str">
        <f t="shared" si="36"/>
        <v/>
      </c>
      <c r="H215" s="25" t="str">
        <f ca="1" t="shared" si="37"/>
        <v/>
      </c>
      <c r="I215" s="26"/>
    </row>
    <row r="216" ht="36" customHeight="1" spans="1:9">
      <c r="A216" s="19"/>
      <c r="B216" s="20" t="str">
        <f t="shared" si="38"/>
        <v/>
      </c>
      <c r="C216" s="21" t="str">
        <f t="shared" si="39"/>
        <v>[]</v>
      </c>
      <c r="D216" s="22" t="str">
        <f t="shared" si="33"/>
        <v/>
      </c>
      <c r="E216" s="22" t="str">
        <f t="shared" si="34"/>
        <v/>
      </c>
      <c r="F216" s="23" t="str">
        <f t="shared" si="35"/>
        <v/>
      </c>
      <c r="G216" s="24" t="str">
        <f t="shared" si="36"/>
        <v/>
      </c>
      <c r="H216" s="25" t="str">
        <f ca="1" t="shared" si="37"/>
        <v/>
      </c>
      <c r="I216" s="26"/>
    </row>
    <row r="217" ht="36" customHeight="1" spans="1:9">
      <c r="A217" s="19"/>
      <c r="B217" s="20" t="str">
        <f t="shared" si="38"/>
        <v/>
      </c>
      <c r="C217" s="21" t="str">
        <f t="shared" si="39"/>
        <v>[]</v>
      </c>
      <c r="D217" s="22" t="str">
        <f t="shared" si="33"/>
        <v/>
      </c>
      <c r="E217" s="22" t="str">
        <f t="shared" si="34"/>
        <v/>
      </c>
      <c r="F217" s="23" t="str">
        <f t="shared" si="35"/>
        <v/>
      </c>
      <c r="G217" s="24" t="str">
        <f t="shared" si="36"/>
        <v/>
      </c>
      <c r="H217" s="25" t="str">
        <f ca="1" t="shared" si="37"/>
        <v/>
      </c>
      <c r="I217" s="26"/>
    </row>
    <row r="218" ht="36" customHeight="1" spans="1:9">
      <c r="A218" s="19"/>
      <c r="B218" s="20" t="str">
        <f t="shared" si="38"/>
        <v/>
      </c>
      <c r="C218" s="21" t="str">
        <f t="shared" si="39"/>
        <v>[]</v>
      </c>
      <c r="D218" s="22" t="str">
        <f t="shared" si="33"/>
        <v/>
      </c>
      <c r="E218" s="22" t="str">
        <f t="shared" si="34"/>
        <v/>
      </c>
      <c r="F218" s="23" t="str">
        <f t="shared" si="35"/>
        <v/>
      </c>
      <c r="G218" s="24" t="str">
        <f t="shared" si="36"/>
        <v/>
      </c>
      <c r="H218" s="25" t="str">
        <f ca="1" t="shared" si="37"/>
        <v/>
      </c>
      <c r="I218" s="26"/>
    </row>
    <row r="219" ht="36" customHeight="1" spans="1:9">
      <c r="A219" s="19"/>
      <c r="B219" s="20" t="str">
        <f t="shared" si="38"/>
        <v/>
      </c>
      <c r="C219" s="21" t="str">
        <f t="shared" si="39"/>
        <v>[]</v>
      </c>
      <c r="D219" s="22" t="str">
        <f t="shared" si="33"/>
        <v/>
      </c>
      <c r="E219" s="22" t="str">
        <f t="shared" si="34"/>
        <v/>
      </c>
      <c r="F219" s="23" t="str">
        <f t="shared" si="35"/>
        <v/>
      </c>
      <c r="G219" s="24" t="str">
        <f t="shared" si="36"/>
        <v/>
      </c>
      <c r="H219" s="25" t="str">
        <f ca="1" t="shared" si="37"/>
        <v/>
      </c>
      <c r="I219" s="26"/>
    </row>
    <row r="220" ht="36" customHeight="1" spans="1:9">
      <c r="A220" s="19"/>
      <c r="B220" s="20" t="str">
        <f t="shared" si="38"/>
        <v/>
      </c>
      <c r="C220" s="21" t="str">
        <f t="shared" si="39"/>
        <v>[]</v>
      </c>
      <c r="D220" s="22" t="str">
        <f t="shared" si="33"/>
        <v/>
      </c>
      <c r="E220" s="22" t="str">
        <f t="shared" si="34"/>
        <v/>
      </c>
      <c r="F220" s="23" t="str">
        <f t="shared" si="35"/>
        <v/>
      </c>
      <c r="G220" s="24" t="str">
        <f t="shared" si="36"/>
        <v/>
      </c>
      <c r="H220" s="25" t="str">
        <f ca="1" t="shared" si="37"/>
        <v/>
      </c>
      <c r="I220" s="26"/>
    </row>
    <row r="221" ht="36" customHeight="1" spans="1:9">
      <c r="A221" s="19"/>
      <c r="B221" s="20" t="str">
        <f t="shared" si="38"/>
        <v/>
      </c>
      <c r="C221" s="21" t="str">
        <f t="shared" si="39"/>
        <v>[]</v>
      </c>
      <c r="D221" s="22" t="str">
        <f t="shared" si="33"/>
        <v/>
      </c>
      <c r="E221" s="22" t="str">
        <f t="shared" si="34"/>
        <v/>
      </c>
      <c r="F221" s="23" t="str">
        <f t="shared" si="35"/>
        <v/>
      </c>
      <c r="G221" s="24" t="str">
        <f t="shared" si="36"/>
        <v/>
      </c>
      <c r="H221" s="25" t="str">
        <f ca="1" t="shared" si="37"/>
        <v/>
      </c>
      <c r="I221" s="26"/>
    </row>
    <row r="222" ht="36" customHeight="1" spans="1:9">
      <c r="A222" s="19"/>
      <c r="B222" s="20" t="str">
        <f t="shared" si="38"/>
        <v/>
      </c>
      <c r="C222" s="21" t="str">
        <f t="shared" si="39"/>
        <v>[]</v>
      </c>
      <c r="D222" s="22" t="str">
        <f t="shared" si="33"/>
        <v/>
      </c>
      <c r="E222" s="22" t="str">
        <f t="shared" si="34"/>
        <v/>
      </c>
      <c r="F222" s="23" t="str">
        <f t="shared" si="35"/>
        <v/>
      </c>
      <c r="G222" s="24" t="str">
        <f t="shared" si="36"/>
        <v/>
      </c>
      <c r="H222" s="25" t="str">
        <f ca="1" t="shared" si="37"/>
        <v/>
      </c>
      <c r="I222" s="26"/>
    </row>
    <row r="223" ht="36" customHeight="1" spans="1:9">
      <c r="A223" s="19"/>
      <c r="B223" s="20" t="str">
        <f t="shared" si="38"/>
        <v/>
      </c>
      <c r="C223" s="21" t="str">
        <f t="shared" si="39"/>
        <v>[]</v>
      </c>
      <c r="D223" s="22" t="str">
        <f t="shared" si="33"/>
        <v/>
      </c>
      <c r="E223" s="22" t="str">
        <f t="shared" si="34"/>
        <v/>
      </c>
      <c r="F223" s="23" t="str">
        <f t="shared" si="35"/>
        <v/>
      </c>
      <c r="G223" s="24" t="str">
        <f t="shared" si="36"/>
        <v/>
      </c>
      <c r="H223" s="25" t="str">
        <f ca="1" t="shared" si="37"/>
        <v/>
      </c>
      <c r="I223" s="26"/>
    </row>
    <row r="224" ht="36" customHeight="1" spans="1:9">
      <c r="A224" s="19"/>
      <c r="B224" s="20" t="str">
        <f t="shared" si="38"/>
        <v/>
      </c>
      <c r="C224" s="21" t="str">
        <f t="shared" si="39"/>
        <v>[]</v>
      </c>
      <c r="D224" s="22" t="str">
        <f t="shared" si="33"/>
        <v/>
      </c>
      <c r="E224" s="22" t="str">
        <f t="shared" si="34"/>
        <v/>
      </c>
      <c r="F224" s="23" t="str">
        <f t="shared" si="35"/>
        <v/>
      </c>
      <c r="G224" s="24" t="str">
        <f t="shared" si="36"/>
        <v/>
      </c>
      <c r="H224" s="25" t="str">
        <f ca="1" t="shared" si="37"/>
        <v/>
      </c>
      <c r="I224" s="26"/>
    </row>
    <row r="225" ht="36" customHeight="1" spans="1:9">
      <c r="A225" s="19"/>
      <c r="B225" s="20" t="str">
        <f t="shared" si="38"/>
        <v/>
      </c>
      <c r="C225" s="21" t="str">
        <f t="shared" si="39"/>
        <v>[]</v>
      </c>
      <c r="D225" s="22" t="str">
        <f t="shared" si="33"/>
        <v/>
      </c>
      <c r="E225" s="22" t="str">
        <f t="shared" si="34"/>
        <v/>
      </c>
      <c r="F225" s="23" t="str">
        <f t="shared" si="35"/>
        <v/>
      </c>
      <c r="G225" s="24" t="str">
        <f t="shared" si="36"/>
        <v/>
      </c>
      <c r="H225" s="25" t="str">
        <f ca="1" t="shared" si="37"/>
        <v/>
      </c>
      <c r="I225" s="26"/>
    </row>
    <row r="226" ht="36" customHeight="1" spans="1:9">
      <c r="A226" s="19"/>
      <c r="B226" s="20" t="str">
        <f t="shared" si="38"/>
        <v/>
      </c>
      <c r="C226" s="21" t="str">
        <f t="shared" si="39"/>
        <v>[]</v>
      </c>
      <c r="D226" s="22" t="str">
        <f t="shared" si="33"/>
        <v/>
      </c>
      <c r="E226" s="22" t="str">
        <f t="shared" si="34"/>
        <v/>
      </c>
      <c r="F226" s="23" t="str">
        <f t="shared" si="35"/>
        <v/>
      </c>
      <c r="G226" s="24" t="str">
        <f t="shared" si="36"/>
        <v/>
      </c>
      <c r="H226" s="25" t="str">
        <f ca="1" t="shared" si="37"/>
        <v/>
      </c>
      <c r="I226" s="26"/>
    </row>
    <row r="227" ht="36" customHeight="1" spans="1:9">
      <c r="A227" s="19"/>
      <c r="B227" s="20" t="str">
        <f t="shared" si="38"/>
        <v/>
      </c>
      <c r="C227" s="21" t="str">
        <f t="shared" si="39"/>
        <v>[]</v>
      </c>
      <c r="D227" s="22" t="str">
        <f t="shared" si="33"/>
        <v/>
      </c>
      <c r="E227" s="22" t="str">
        <f t="shared" si="34"/>
        <v/>
      </c>
      <c r="F227" s="23" t="str">
        <f t="shared" si="35"/>
        <v/>
      </c>
      <c r="G227" s="24" t="str">
        <f t="shared" si="36"/>
        <v/>
      </c>
      <c r="H227" s="25" t="str">
        <f ca="1" t="shared" si="37"/>
        <v/>
      </c>
      <c r="I227" s="26"/>
    </row>
    <row r="228" ht="36" customHeight="1" spans="1:9">
      <c r="A228" s="19"/>
      <c r="B228" s="20" t="str">
        <f t="shared" si="38"/>
        <v/>
      </c>
      <c r="C228" s="21" t="str">
        <f t="shared" si="39"/>
        <v>[]</v>
      </c>
      <c r="D228" s="22" t="str">
        <f t="shared" si="33"/>
        <v/>
      </c>
      <c r="E228" s="22" t="str">
        <f t="shared" si="34"/>
        <v/>
      </c>
      <c r="F228" s="23" t="str">
        <f t="shared" si="35"/>
        <v/>
      </c>
      <c r="G228" s="24" t="str">
        <f t="shared" si="36"/>
        <v/>
      </c>
      <c r="H228" s="25" t="str">
        <f ca="1" t="shared" si="37"/>
        <v/>
      </c>
      <c r="I228" s="26"/>
    </row>
    <row r="229" ht="36" customHeight="1" spans="1:9">
      <c r="A229" s="19"/>
      <c r="B229" s="20" t="str">
        <f t="shared" si="38"/>
        <v/>
      </c>
      <c r="C229" s="21" t="str">
        <f t="shared" si="39"/>
        <v>[]</v>
      </c>
      <c r="D229" s="22" t="str">
        <f t="shared" si="33"/>
        <v/>
      </c>
      <c r="E229" s="22" t="str">
        <f t="shared" si="34"/>
        <v/>
      </c>
      <c r="F229" s="23" t="str">
        <f t="shared" si="35"/>
        <v/>
      </c>
      <c r="G229" s="24" t="str">
        <f t="shared" si="36"/>
        <v/>
      </c>
      <c r="H229" s="25" t="str">
        <f ca="1" t="shared" si="37"/>
        <v/>
      </c>
      <c r="I229" s="26"/>
    </row>
    <row r="230" ht="36" customHeight="1" spans="1:9">
      <c r="A230" s="19"/>
      <c r="B230" s="20" t="str">
        <f t="shared" si="38"/>
        <v/>
      </c>
      <c r="C230" s="21" t="str">
        <f t="shared" si="39"/>
        <v>[]</v>
      </c>
      <c r="D230" s="22" t="str">
        <f t="shared" si="33"/>
        <v/>
      </c>
      <c r="E230" s="22" t="str">
        <f t="shared" si="34"/>
        <v/>
      </c>
      <c r="F230" s="23" t="str">
        <f t="shared" si="35"/>
        <v/>
      </c>
      <c r="G230" s="24" t="str">
        <f t="shared" si="36"/>
        <v/>
      </c>
      <c r="H230" s="25" t="str">
        <f ca="1" t="shared" si="37"/>
        <v/>
      </c>
      <c r="I230" s="26"/>
    </row>
    <row r="231" ht="36" customHeight="1" spans="1:9">
      <c r="A231" s="19"/>
      <c r="B231" s="20" t="str">
        <f t="shared" si="38"/>
        <v/>
      </c>
      <c r="C231" s="21" t="str">
        <f t="shared" si="39"/>
        <v>[]</v>
      </c>
      <c r="D231" s="22" t="str">
        <f t="shared" si="33"/>
        <v/>
      </c>
      <c r="E231" s="22" t="str">
        <f t="shared" si="34"/>
        <v/>
      </c>
      <c r="F231" s="23" t="str">
        <f t="shared" si="35"/>
        <v/>
      </c>
      <c r="G231" s="24" t="str">
        <f t="shared" si="36"/>
        <v/>
      </c>
      <c r="H231" s="25" t="str">
        <f ca="1" t="shared" si="37"/>
        <v/>
      </c>
      <c r="I231" s="26"/>
    </row>
    <row r="232" ht="36" customHeight="1" spans="1:9">
      <c r="A232" s="19"/>
      <c r="B232" s="20" t="str">
        <f t="shared" si="38"/>
        <v/>
      </c>
      <c r="C232" s="21" t="str">
        <f t="shared" si="39"/>
        <v>[]</v>
      </c>
      <c r="D232" s="22" t="str">
        <f t="shared" si="33"/>
        <v/>
      </c>
      <c r="E232" s="22" t="str">
        <f t="shared" si="34"/>
        <v/>
      </c>
      <c r="F232" s="23" t="str">
        <f t="shared" si="35"/>
        <v/>
      </c>
      <c r="G232" s="24" t="str">
        <f t="shared" si="36"/>
        <v/>
      </c>
      <c r="H232" s="25" t="str">
        <f ca="1" t="shared" si="37"/>
        <v/>
      </c>
      <c r="I232" s="26"/>
    </row>
    <row r="233" ht="36" customHeight="1" spans="1:9">
      <c r="A233" s="19"/>
      <c r="B233" s="20" t="str">
        <f t="shared" si="38"/>
        <v/>
      </c>
      <c r="C233" s="21" t="str">
        <f t="shared" si="39"/>
        <v>[]</v>
      </c>
      <c r="D233" s="22" t="str">
        <f t="shared" si="33"/>
        <v/>
      </c>
      <c r="E233" s="22" t="str">
        <f t="shared" si="34"/>
        <v/>
      </c>
      <c r="F233" s="23" t="str">
        <f t="shared" si="35"/>
        <v/>
      </c>
      <c r="G233" s="24" t="str">
        <f t="shared" si="36"/>
        <v/>
      </c>
      <c r="H233" s="25" t="str">
        <f ca="1" t="shared" si="37"/>
        <v/>
      </c>
      <c r="I233" s="26"/>
    </row>
    <row r="234" ht="36" customHeight="1" spans="1:9">
      <c r="A234" s="19"/>
      <c r="B234" s="20" t="str">
        <f t="shared" si="38"/>
        <v/>
      </c>
      <c r="C234" s="21" t="str">
        <f t="shared" si="39"/>
        <v>[]</v>
      </c>
      <c r="D234" s="22" t="str">
        <f t="shared" si="33"/>
        <v/>
      </c>
      <c r="E234" s="22" t="str">
        <f t="shared" si="34"/>
        <v/>
      </c>
      <c r="F234" s="23" t="str">
        <f t="shared" si="35"/>
        <v/>
      </c>
      <c r="G234" s="24" t="str">
        <f t="shared" si="36"/>
        <v/>
      </c>
      <c r="H234" s="25" t="str">
        <f ca="1" t="shared" si="37"/>
        <v/>
      </c>
      <c r="I234" s="26"/>
    </row>
    <row r="235" ht="36" customHeight="1" spans="1:9">
      <c r="A235" s="19"/>
      <c r="B235" s="20" t="str">
        <f t="shared" si="38"/>
        <v/>
      </c>
      <c r="C235" s="21" t="str">
        <f t="shared" si="39"/>
        <v>[]</v>
      </c>
      <c r="D235" s="22" t="str">
        <f t="shared" si="33"/>
        <v/>
      </c>
      <c r="E235" s="22" t="str">
        <f t="shared" si="34"/>
        <v/>
      </c>
      <c r="F235" s="23" t="str">
        <f t="shared" si="35"/>
        <v/>
      </c>
      <c r="G235" s="24" t="str">
        <f t="shared" si="36"/>
        <v/>
      </c>
      <c r="H235" s="25" t="str">
        <f ca="1" t="shared" si="37"/>
        <v/>
      </c>
      <c r="I235" s="26"/>
    </row>
    <row r="236" ht="36" customHeight="1" spans="1:9">
      <c r="A236" s="19"/>
      <c r="B236" s="20" t="str">
        <f t="shared" si="38"/>
        <v/>
      </c>
      <c r="C236" s="21" t="str">
        <f t="shared" si="39"/>
        <v>[]</v>
      </c>
      <c r="D236" s="22" t="str">
        <f t="shared" si="33"/>
        <v/>
      </c>
      <c r="E236" s="22" t="str">
        <f t="shared" si="34"/>
        <v/>
      </c>
      <c r="F236" s="23" t="str">
        <f t="shared" si="35"/>
        <v/>
      </c>
      <c r="G236" s="24" t="str">
        <f t="shared" si="36"/>
        <v/>
      </c>
      <c r="H236" s="25" t="str">
        <f ca="1" t="shared" si="37"/>
        <v/>
      </c>
      <c r="I236" s="26"/>
    </row>
    <row r="237" ht="36" customHeight="1" spans="1:9">
      <c r="A237" s="19"/>
      <c r="B237" s="20" t="str">
        <f t="shared" si="38"/>
        <v/>
      </c>
      <c r="C237" s="21" t="str">
        <f t="shared" si="39"/>
        <v>[]</v>
      </c>
      <c r="D237" s="22" t="str">
        <f t="shared" si="33"/>
        <v/>
      </c>
      <c r="E237" s="22" t="str">
        <f t="shared" si="34"/>
        <v/>
      </c>
      <c r="F237" s="23" t="str">
        <f t="shared" si="35"/>
        <v/>
      </c>
      <c r="G237" s="24" t="str">
        <f t="shared" si="36"/>
        <v/>
      </c>
      <c r="H237" s="25" t="str">
        <f ca="1" t="shared" si="37"/>
        <v/>
      </c>
      <c r="I237" s="26"/>
    </row>
    <row r="238" ht="36" customHeight="1" spans="1:9">
      <c r="A238" s="19"/>
      <c r="B238" s="20" t="str">
        <f t="shared" si="38"/>
        <v/>
      </c>
      <c r="C238" s="21" t="str">
        <f t="shared" si="39"/>
        <v>[]</v>
      </c>
      <c r="D238" s="22" t="str">
        <f t="shared" si="33"/>
        <v/>
      </c>
      <c r="E238" s="22" t="str">
        <f t="shared" si="34"/>
        <v/>
      </c>
      <c r="F238" s="23" t="str">
        <f t="shared" si="35"/>
        <v/>
      </c>
      <c r="G238" s="24" t="str">
        <f t="shared" si="36"/>
        <v/>
      </c>
      <c r="H238" s="25" t="str">
        <f ca="1" t="shared" si="37"/>
        <v/>
      </c>
      <c r="I238" s="26"/>
    </row>
    <row r="239" ht="36" customHeight="1" spans="1:9">
      <c r="A239" s="19"/>
      <c r="B239" s="20" t="str">
        <f t="shared" si="38"/>
        <v/>
      </c>
      <c r="C239" s="21" t="str">
        <f t="shared" si="39"/>
        <v>[]</v>
      </c>
      <c r="D239" s="22" t="str">
        <f t="shared" si="33"/>
        <v/>
      </c>
      <c r="E239" s="22" t="str">
        <f t="shared" si="34"/>
        <v/>
      </c>
      <c r="F239" s="23" t="str">
        <f t="shared" si="35"/>
        <v/>
      </c>
      <c r="G239" s="24" t="str">
        <f t="shared" si="36"/>
        <v/>
      </c>
      <c r="H239" s="25" t="str">
        <f ca="1" t="shared" si="37"/>
        <v/>
      </c>
      <c r="I239" s="26"/>
    </row>
    <row r="240" ht="36" customHeight="1" spans="1:9">
      <c r="A240" s="19"/>
      <c r="B240" s="20" t="str">
        <f t="shared" si="38"/>
        <v/>
      </c>
      <c r="C240" s="21" t="str">
        <f t="shared" si="39"/>
        <v>[]</v>
      </c>
      <c r="D240" s="22" t="str">
        <f t="shared" si="33"/>
        <v/>
      </c>
      <c r="E240" s="22" t="str">
        <f t="shared" si="34"/>
        <v/>
      </c>
      <c r="F240" s="23" t="str">
        <f t="shared" si="35"/>
        <v/>
      </c>
      <c r="G240" s="24" t="str">
        <f t="shared" si="36"/>
        <v/>
      </c>
      <c r="H240" s="25" t="str">
        <f ca="1" t="shared" si="37"/>
        <v/>
      </c>
      <c r="I240" s="26"/>
    </row>
    <row r="241" ht="36" customHeight="1" spans="1:9">
      <c r="A241" s="19"/>
      <c r="B241" s="20" t="str">
        <f t="shared" si="38"/>
        <v/>
      </c>
      <c r="C241" s="21" t="str">
        <f t="shared" si="39"/>
        <v>[]</v>
      </c>
      <c r="D241" s="22" t="str">
        <f t="shared" si="33"/>
        <v/>
      </c>
      <c r="E241" s="22" t="str">
        <f t="shared" si="34"/>
        <v/>
      </c>
      <c r="F241" s="23" t="str">
        <f t="shared" si="35"/>
        <v/>
      </c>
      <c r="G241" s="24" t="str">
        <f t="shared" si="36"/>
        <v/>
      </c>
      <c r="H241" s="25" t="str">
        <f ca="1" t="shared" si="37"/>
        <v/>
      </c>
      <c r="I241" s="26"/>
    </row>
    <row r="242" ht="36" customHeight="1" spans="1:9">
      <c r="A242" s="19"/>
      <c r="B242" s="20" t="str">
        <f t="shared" si="38"/>
        <v/>
      </c>
      <c r="C242" s="21" t="str">
        <f t="shared" si="39"/>
        <v>[]</v>
      </c>
      <c r="D242" s="22" t="str">
        <f t="shared" si="33"/>
        <v/>
      </c>
      <c r="E242" s="22" t="str">
        <f t="shared" si="34"/>
        <v/>
      </c>
      <c r="F242" s="23" t="str">
        <f t="shared" si="35"/>
        <v/>
      </c>
      <c r="G242" s="24" t="str">
        <f t="shared" si="36"/>
        <v/>
      </c>
      <c r="H242" s="25" t="str">
        <f ca="1" t="shared" si="37"/>
        <v/>
      </c>
      <c r="I242" s="26"/>
    </row>
    <row r="243" ht="36" customHeight="1" spans="1:9">
      <c r="A243" s="19"/>
      <c r="B243" s="20" t="str">
        <f t="shared" si="38"/>
        <v/>
      </c>
      <c r="C243" s="21" t="str">
        <f t="shared" si="39"/>
        <v>[]</v>
      </c>
      <c r="D243" s="22" t="str">
        <f t="shared" si="33"/>
        <v/>
      </c>
      <c r="E243" s="22" t="str">
        <f t="shared" si="34"/>
        <v/>
      </c>
      <c r="F243" s="23" t="str">
        <f t="shared" si="35"/>
        <v/>
      </c>
      <c r="G243" s="24" t="str">
        <f t="shared" si="36"/>
        <v/>
      </c>
      <c r="H243" s="25" t="str">
        <f ca="1" t="shared" si="37"/>
        <v/>
      </c>
      <c r="I243" s="26"/>
    </row>
    <row r="244" ht="36" customHeight="1" spans="1:9">
      <c r="A244" s="19"/>
      <c r="B244" s="20" t="str">
        <f t="shared" si="38"/>
        <v/>
      </c>
      <c r="C244" s="21" t="str">
        <f t="shared" si="39"/>
        <v>[]</v>
      </c>
      <c r="D244" s="22" t="str">
        <f t="shared" si="33"/>
        <v/>
      </c>
      <c r="E244" s="22" t="str">
        <f t="shared" si="34"/>
        <v/>
      </c>
      <c r="F244" s="23" t="str">
        <f t="shared" si="35"/>
        <v/>
      </c>
      <c r="G244" s="24" t="str">
        <f t="shared" si="36"/>
        <v/>
      </c>
      <c r="H244" s="25" t="str">
        <f ca="1" t="shared" si="37"/>
        <v/>
      </c>
      <c r="I244" s="26"/>
    </row>
    <row r="245" ht="36" customHeight="1" spans="1:9">
      <c r="A245" s="19"/>
      <c r="B245" s="20" t="str">
        <f t="shared" si="38"/>
        <v/>
      </c>
      <c r="C245" s="21" t="str">
        <f t="shared" si="39"/>
        <v>[]</v>
      </c>
      <c r="D245" s="22" t="str">
        <f t="shared" si="33"/>
        <v/>
      </c>
      <c r="E245" s="22" t="str">
        <f t="shared" si="34"/>
        <v/>
      </c>
      <c r="F245" s="23" t="str">
        <f t="shared" si="35"/>
        <v/>
      </c>
      <c r="G245" s="24" t="str">
        <f t="shared" si="36"/>
        <v/>
      </c>
      <c r="H245" s="25" t="str">
        <f ca="1" t="shared" si="37"/>
        <v/>
      </c>
      <c r="I245" s="26"/>
    </row>
    <row r="246" ht="36" customHeight="1" spans="1:9">
      <c r="A246" s="19"/>
      <c r="B246" s="20" t="str">
        <f t="shared" si="38"/>
        <v/>
      </c>
      <c r="C246" s="21" t="str">
        <f t="shared" si="39"/>
        <v>[]</v>
      </c>
      <c r="D246" s="22" t="str">
        <f t="shared" si="33"/>
        <v/>
      </c>
      <c r="E246" s="22" t="str">
        <f t="shared" si="34"/>
        <v/>
      </c>
      <c r="F246" s="23" t="str">
        <f t="shared" si="35"/>
        <v/>
      </c>
      <c r="G246" s="24" t="str">
        <f t="shared" si="36"/>
        <v/>
      </c>
      <c r="H246" s="25" t="str">
        <f ca="1" t="shared" si="37"/>
        <v/>
      </c>
      <c r="I246" s="26"/>
    </row>
    <row r="247" ht="36" customHeight="1" spans="1:9">
      <c r="A247" s="19"/>
      <c r="B247" s="20" t="str">
        <f t="shared" si="38"/>
        <v/>
      </c>
      <c r="C247" s="21" t="str">
        <f t="shared" si="39"/>
        <v>[]</v>
      </c>
      <c r="D247" s="22" t="str">
        <f t="shared" si="33"/>
        <v/>
      </c>
      <c r="E247" s="22" t="str">
        <f t="shared" si="34"/>
        <v/>
      </c>
      <c r="F247" s="23" t="str">
        <f t="shared" si="35"/>
        <v/>
      </c>
      <c r="G247" s="24" t="str">
        <f t="shared" si="36"/>
        <v/>
      </c>
      <c r="H247" s="25" t="str">
        <f ca="1" t="shared" si="37"/>
        <v/>
      </c>
      <c r="I247" s="26"/>
    </row>
    <row r="248" ht="36" customHeight="1" spans="1:9">
      <c r="A248" s="19"/>
      <c r="B248" s="20" t="str">
        <f t="shared" ref="B248:B311" si="40">IFERROR("@"&amp;MID(A248,SEARCH("{",A248)+1,SEARCH(",",A248)-SEARCH("{",A248)-1),"")</f>
        <v/>
      </c>
      <c r="C248" s="21" t="str">
        <f t="shared" si="39"/>
        <v>[]</v>
      </c>
      <c r="D248" s="22" t="str">
        <f t="shared" ref="D248:D311" si="41">IFERROR(MID(A248,SEARCH("year = {",A248)+8,4),"")</f>
        <v/>
      </c>
      <c r="E248" s="22" t="str">
        <f t="shared" ref="E248:E311" si="42">IFERROR(MID(A248,SEARCH("author = {",A248)+10,SEARCH("}",A248,SEARCH("author = {",A248))-SEARCH("author = {",A248)-10),"")</f>
        <v/>
      </c>
      <c r="F248" s="23" t="str">
        <f t="shared" ref="F248:F311" si="43">IFERROR(IF(ISERROR(FIND("title =",A248)),"",MID(A248,FIND("title =",A248)+9,FIND("},",A248,FIND("title =",A248))-FIND("title =",A248)-9)),"")</f>
        <v/>
      </c>
      <c r="G248" s="24" t="str">
        <f t="shared" ref="G248:G311" si="44">IFERROR("https://doi.org/"&amp;MID(A248,SEARCH("doi = {",A248)+7,FIND("}",A248,SEARCH("doi = {",A248))-SEARCH("doi = {",A248)-7),"")</f>
        <v/>
      </c>
      <c r="H248" s="25" t="str">
        <f ca="1" t="shared" ref="H248:H311" si="45">IF(A248&lt;&gt;"",IF(H248&lt;&gt;"",H248,NOW()),"")</f>
        <v/>
      </c>
      <c r="I248" s="26"/>
    </row>
    <row r="249" ht="36" customHeight="1" spans="1:9">
      <c r="A249" s="19"/>
      <c r="B249" s="20" t="str">
        <f t="shared" si="40"/>
        <v/>
      </c>
      <c r="C249" s="21" t="str">
        <f t="shared" ref="C249:C312" si="46">"["&amp;B249&amp;"]"</f>
        <v>[]</v>
      </c>
      <c r="D249" s="22" t="str">
        <f t="shared" si="41"/>
        <v/>
      </c>
      <c r="E249" s="22" t="str">
        <f t="shared" si="42"/>
        <v/>
      </c>
      <c r="F249" s="23" t="str">
        <f t="shared" si="43"/>
        <v/>
      </c>
      <c r="G249" s="24" t="str">
        <f t="shared" si="44"/>
        <v/>
      </c>
      <c r="H249" s="25" t="str">
        <f ca="1" t="shared" si="45"/>
        <v/>
      </c>
      <c r="I249" s="26"/>
    </row>
    <row r="250" ht="36" customHeight="1" spans="1:9">
      <c r="A250" s="19"/>
      <c r="B250" s="20" t="str">
        <f t="shared" si="40"/>
        <v/>
      </c>
      <c r="C250" s="21" t="str">
        <f t="shared" si="46"/>
        <v>[]</v>
      </c>
      <c r="D250" s="22" t="str">
        <f t="shared" si="41"/>
        <v/>
      </c>
      <c r="E250" s="22" t="str">
        <f t="shared" si="42"/>
        <v/>
      </c>
      <c r="F250" s="23" t="str">
        <f t="shared" si="43"/>
        <v/>
      </c>
      <c r="G250" s="24" t="str">
        <f t="shared" si="44"/>
        <v/>
      </c>
      <c r="H250" s="25" t="str">
        <f ca="1" t="shared" si="45"/>
        <v/>
      </c>
      <c r="I250" s="26"/>
    </row>
    <row r="251" ht="36" customHeight="1" spans="1:9">
      <c r="A251" s="19"/>
      <c r="B251" s="20" t="str">
        <f t="shared" si="40"/>
        <v/>
      </c>
      <c r="C251" s="21" t="str">
        <f t="shared" si="46"/>
        <v>[]</v>
      </c>
      <c r="D251" s="22" t="str">
        <f t="shared" si="41"/>
        <v/>
      </c>
      <c r="E251" s="22" t="str">
        <f t="shared" si="42"/>
        <v/>
      </c>
      <c r="F251" s="23" t="str">
        <f t="shared" si="43"/>
        <v/>
      </c>
      <c r="G251" s="24" t="str">
        <f t="shared" si="44"/>
        <v/>
      </c>
      <c r="H251" s="25" t="str">
        <f ca="1" t="shared" si="45"/>
        <v/>
      </c>
      <c r="I251" s="26"/>
    </row>
    <row r="252" ht="36" customHeight="1" spans="1:9">
      <c r="A252" s="19"/>
      <c r="B252" s="20" t="str">
        <f t="shared" si="40"/>
        <v/>
      </c>
      <c r="C252" s="21" t="str">
        <f t="shared" si="46"/>
        <v>[]</v>
      </c>
      <c r="D252" s="22" t="str">
        <f t="shared" si="41"/>
        <v/>
      </c>
      <c r="E252" s="22" t="str">
        <f t="shared" si="42"/>
        <v/>
      </c>
      <c r="F252" s="23" t="str">
        <f t="shared" si="43"/>
        <v/>
      </c>
      <c r="G252" s="24" t="str">
        <f t="shared" si="44"/>
        <v/>
      </c>
      <c r="H252" s="25" t="str">
        <f ca="1" t="shared" si="45"/>
        <v/>
      </c>
      <c r="I252" s="26"/>
    </row>
    <row r="253" ht="36" customHeight="1" spans="1:9">
      <c r="A253" s="19"/>
      <c r="B253" s="20" t="str">
        <f t="shared" si="40"/>
        <v/>
      </c>
      <c r="C253" s="21" t="str">
        <f t="shared" si="46"/>
        <v>[]</v>
      </c>
      <c r="D253" s="22" t="str">
        <f t="shared" si="41"/>
        <v/>
      </c>
      <c r="E253" s="22" t="str">
        <f t="shared" si="42"/>
        <v/>
      </c>
      <c r="F253" s="23" t="str">
        <f t="shared" si="43"/>
        <v/>
      </c>
      <c r="G253" s="24" t="str">
        <f t="shared" si="44"/>
        <v/>
      </c>
      <c r="H253" s="25" t="str">
        <f ca="1" t="shared" si="45"/>
        <v/>
      </c>
      <c r="I253" s="26"/>
    </row>
    <row r="254" ht="36" customHeight="1" spans="1:9">
      <c r="A254" s="19"/>
      <c r="B254" s="20" t="str">
        <f t="shared" si="40"/>
        <v/>
      </c>
      <c r="C254" s="21" t="str">
        <f t="shared" si="46"/>
        <v>[]</v>
      </c>
      <c r="D254" s="22" t="str">
        <f t="shared" si="41"/>
        <v/>
      </c>
      <c r="E254" s="22" t="str">
        <f t="shared" si="42"/>
        <v/>
      </c>
      <c r="F254" s="23" t="str">
        <f t="shared" si="43"/>
        <v/>
      </c>
      <c r="G254" s="24" t="str">
        <f t="shared" si="44"/>
        <v/>
      </c>
      <c r="H254" s="25" t="str">
        <f ca="1" t="shared" si="45"/>
        <v/>
      </c>
      <c r="I254" s="26"/>
    </row>
    <row r="255" ht="36" customHeight="1" spans="1:9">
      <c r="A255" s="19"/>
      <c r="B255" s="20" t="str">
        <f t="shared" si="40"/>
        <v/>
      </c>
      <c r="C255" s="21" t="str">
        <f t="shared" si="46"/>
        <v>[]</v>
      </c>
      <c r="D255" s="22" t="str">
        <f t="shared" si="41"/>
        <v/>
      </c>
      <c r="E255" s="22" t="str">
        <f t="shared" si="42"/>
        <v/>
      </c>
      <c r="F255" s="23" t="str">
        <f t="shared" si="43"/>
        <v/>
      </c>
      <c r="G255" s="24" t="str">
        <f t="shared" si="44"/>
        <v/>
      </c>
      <c r="H255" s="25" t="str">
        <f ca="1" t="shared" si="45"/>
        <v/>
      </c>
      <c r="I255" s="26"/>
    </row>
    <row r="256" ht="36" customHeight="1" spans="1:9">
      <c r="A256" s="19"/>
      <c r="B256" s="20" t="str">
        <f t="shared" si="40"/>
        <v/>
      </c>
      <c r="C256" s="21" t="str">
        <f t="shared" si="46"/>
        <v>[]</v>
      </c>
      <c r="D256" s="22" t="str">
        <f t="shared" si="41"/>
        <v/>
      </c>
      <c r="E256" s="22" t="str">
        <f t="shared" si="42"/>
        <v/>
      </c>
      <c r="F256" s="23" t="str">
        <f t="shared" si="43"/>
        <v/>
      </c>
      <c r="G256" s="24" t="str">
        <f t="shared" si="44"/>
        <v/>
      </c>
      <c r="H256" s="25" t="str">
        <f ca="1" t="shared" si="45"/>
        <v/>
      </c>
      <c r="I256" s="26"/>
    </row>
    <row r="257" ht="36" customHeight="1" spans="1:9">
      <c r="A257" s="19"/>
      <c r="B257" s="20" t="str">
        <f t="shared" si="40"/>
        <v/>
      </c>
      <c r="C257" s="21" t="str">
        <f t="shared" si="46"/>
        <v>[]</v>
      </c>
      <c r="D257" s="22" t="str">
        <f t="shared" si="41"/>
        <v/>
      </c>
      <c r="E257" s="22" t="str">
        <f t="shared" si="42"/>
        <v/>
      </c>
      <c r="F257" s="23" t="str">
        <f t="shared" si="43"/>
        <v/>
      </c>
      <c r="G257" s="24" t="str">
        <f t="shared" si="44"/>
        <v/>
      </c>
      <c r="H257" s="25" t="str">
        <f ca="1" t="shared" si="45"/>
        <v/>
      </c>
      <c r="I257" s="26"/>
    </row>
    <row r="258" ht="36" customHeight="1" spans="1:9">
      <c r="A258" s="19"/>
      <c r="B258" s="20" t="str">
        <f t="shared" si="40"/>
        <v/>
      </c>
      <c r="C258" s="21" t="str">
        <f t="shared" si="46"/>
        <v>[]</v>
      </c>
      <c r="D258" s="22" t="str">
        <f t="shared" si="41"/>
        <v/>
      </c>
      <c r="E258" s="22" t="str">
        <f t="shared" si="42"/>
        <v/>
      </c>
      <c r="F258" s="23" t="str">
        <f t="shared" si="43"/>
        <v/>
      </c>
      <c r="G258" s="24" t="str">
        <f t="shared" si="44"/>
        <v/>
      </c>
      <c r="H258" s="25" t="str">
        <f ca="1" t="shared" si="45"/>
        <v/>
      </c>
      <c r="I258" s="26"/>
    </row>
    <row r="259" ht="36" customHeight="1" spans="1:9">
      <c r="A259" s="19"/>
      <c r="B259" s="20" t="str">
        <f t="shared" si="40"/>
        <v/>
      </c>
      <c r="C259" s="21" t="str">
        <f t="shared" si="46"/>
        <v>[]</v>
      </c>
      <c r="D259" s="22" t="str">
        <f t="shared" si="41"/>
        <v/>
      </c>
      <c r="E259" s="22" t="str">
        <f t="shared" si="42"/>
        <v/>
      </c>
      <c r="F259" s="23" t="str">
        <f t="shared" si="43"/>
        <v/>
      </c>
      <c r="G259" s="24" t="str">
        <f t="shared" si="44"/>
        <v/>
      </c>
      <c r="H259" s="25" t="str">
        <f ca="1" t="shared" si="45"/>
        <v/>
      </c>
      <c r="I259" s="26"/>
    </row>
    <row r="260" ht="36" customHeight="1" spans="1:9">
      <c r="A260" s="19"/>
      <c r="B260" s="20" t="str">
        <f t="shared" si="40"/>
        <v/>
      </c>
      <c r="C260" s="21" t="str">
        <f t="shared" si="46"/>
        <v>[]</v>
      </c>
      <c r="D260" s="22" t="str">
        <f t="shared" si="41"/>
        <v/>
      </c>
      <c r="E260" s="22" t="str">
        <f t="shared" si="42"/>
        <v/>
      </c>
      <c r="F260" s="23" t="str">
        <f t="shared" si="43"/>
        <v/>
      </c>
      <c r="G260" s="24" t="str">
        <f t="shared" si="44"/>
        <v/>
      </c>
      <c r="H260" s="25" t="str">
        <f ca="1" t="shared" si="45"/>
        <v/>
      </c>
      <c r="I260" s="26"/>
    </row>
    <row r="261" ht="36" customHeight="1" spans="1:9">
      <c r="A261" s="19"/>
      <c r="B261" s="20" t="str">
        <f t="shared" si="40"/>
        <v/>
      </c>
      <c r="C261" s="21" t="str">
        <f t="shared" si="46"/>
        <v>[]</v>
      </c>
      <c r="D261" s="22" t="str">
        <f t="shared" si="41"/>
        <v/>
      </c>
      <c r="E261" s="22" t="str">
        <f t="shared" si="42"/>
        <v/>
      </c>
      <c r="F261" s="23" t="str">
        <f t="shared" si="43"/>
        <v/>
      </c>
      <c r="G261" s="24" t="str">
        <f t="shared" si="44"/>
        <v/>
      </c>
      <c r="H261" s="25" t="str">
        <f ca="1" t="shared" si="45"/>
        <v/>
      </c>
      <c r="I261" s="26"/>
    </row>
    <row r="262" ht="36" customHeight="1" spans="1:9">
      <c r="A262" s="19"/>
      <c r="B262" s="20" t="str">
        <f t="shared" si="40"/>
        <v/>
      </c>
      <c r="C262" s="21" t="str">
        <f t="shared" si="46"/>
        <v>[]</v>
      </c>
      <c r="D262" s="22" t="str">
        <f t="shared" si="41"/>
        <v/>
      </c>
      <c r="E262" s="22" t="str">
        <f t="shared" si="42"/>
        <v/>
      </c>
      <c r="F262" s="23" t="str">
        <f t="shared" si="43"/>
        <v/>
      </c>
      <c r="G262" s="24" t="str">
        <f t="shared" si="44"/>
        <v/>
      </c>
      <c r="H262" s="25" t="str">
        <f ca="1" t="shared" si="45"/>
        <v/>
      </c>
      <c r="I262" s="26"/>
    </row>
    <row r="263" ht="36" customHeight="1" spans="1:9">
      <c r="A263" s="19"/>
      <c r="B263" s="20" t="str">
        <f t="shared" si="40"/>
        <v/>
      </c>
      <c r="C263" s="21" t="str">
        <f t="shared" si="46"/>
        <v>[]</v>
      </c>
      <c r="D263" s="22" t="str">
        <f t="shared" si="41"/>
        <v/>
      </c>
      <c r="E263" s="22" t="str">
        <f t="shared" si="42"/>
        <v/>
      </c>
      <c r="F263" s="23" t="str">
        <f t="shared" si="43"/>
        <v/>
      </c>
      <c r="G263" s="24" t="str">
        <f t="shared" si="44"/>
        <v/>
      </c>
      <c r="H263" s="25" t="str">
        <f ca="1" t="shared" si="45"/>
        <v/>
      </c>
      <c r="I263" s="26"/>
    </row>
    <row r="264" ht="36" customHeight="1" spans="1:9">
      <c r="A264" s="19"/>
      <c r="B264" s="20" t="str">
        <f t="shared" si="40"/>
        <v/>
      </c>
      <c r="C264" s="21" t="str">
        <f t="shared" si="46"/>
        <v>[]</v>
      </c>
      <c r="D264" s="22" t="str">
        <f t="shared" si="41"/>
        <v/>
      </c>
      <c r="E264" s="22" t="str">
        <f t="shared" si="42"/>
        <v/>
      </c>
      <c r="F264" s="23" t="str">
        <f t="shared" si="43"/>
        <v/>
      </c>
      <c r="G264" s="24" t="str">
        <f t="shared" si="44"/>
        <v/>
      </c>
      <c r="H264" s="25" t="str">
        <f ca="1" t="shared" si="45"/>
        <v/>
      </c>
      <c r="I264" s="26"/>
    </row>
    <row r="265" ht="36" customHeight="1" spans="1:9">
      <c r="A265" s="19"/>
      <c r="B265" s="20" t="str">
        <f t="shared" si="40"/>
        <v/>
      </c>
      <c r="C265" s="21" t="str">
        <f t="shared" si="46"/>
        <v>[]</v>
      </c>
      <c r="D265" s="22" t="str">
        <f t="shared" si="41"/>
        <v/>
      </c>
      <c r="E265" s="22" t="str">
        <f t="shared" si="42"/>
        <v/>
      </c>
      <c r="F265" s="23" t="str">
        <f t="shared" si="43"/>
        <v/>
      </c>
      <c r="G265" s="24" t="str">
        <f t="shared" si="44"/>
        <v/>
      </c>
      <c r="H265" s="25" t="str">
        <f ca="1" t="shared" si="45"/>
        <v/>
      </c>
      <c r="I265" s="26"/>
    </row>
    <row r="266" ht="36" customHeight="1" spans="1:9">
      <c r="A266" s="19"/>
      <c r="B266" s="20" t="str">
        <f t="shared" si="40"/>
        <v/>
      </c>
      <c r="C266" s="21" t="str">
        <f t="shared" si="46"/>
        <v>[]</v>
      </c>
      <c r="D266" s="22" t="str">
        <f t="shared" si="41"/>
        <v/>
      </c>
      <c r="E266" s="22" t="str">
        <f t="shared" si="42"/>
        <v/>
      </c>
      <c r="F266" s="23" t="str">
        <f t="shared" si="43"/>
        <v/>
      </c>
      <c r="G266" s="24" t="str">
        <f t="shared" si="44"/>
        <v/>
      </c>
      <c r="H266" s="25" t="str">
        <f ca="1" t="shared" si="45"/>
        <v/>
      </c>
      <c r="I266" s="26"/>
    </row>
    <row r="267" ht="36" customHeight="1" spans="1:9">
      <c r="A267" s="19"/>
      <c r="B267" s="20" t="str">
        <f t="shared" si="40"/>
        <v/>
      </c>
      <c r="C267" s="21" t="str">
        <f t="shared" si="46"/>
        <v>[]</v>
      </c>
      <c r="D267" s="22" t="str">
        <f t="shared" si="41"/>
        <v/>
      </c>
      <c r="E267" s="22" t="str">
        <f t="shared" si="42"/>
        <v/>
      </c>
      <c r="F267" s="23" t="str">
        <f t="shared" si="43"/>
        <v/>
      </c>
      <c r="G267" s="24" t="str">
        <f t="shared" si="44"/>
        <v/>
      </c>
      <c r="H267" s="25" t="str">
        <f ca="1" t="shared" si="45"/>
        <v/>
      </c>
      <c r="I267" s="26"/>
    </row>
    <row r="268" ht="36" customHeight="1" spans="1:9">
      <c r="A268" s="19"/>
      <c r="B268" s="20" t="str">
        <f t="shared" si="40"/>
        <v/>
      </c>
      <c r="C268" s="21" t="str">
        <f t="shared" si="46"/>
        <v>[]</v>
      </c>
      <c r="D268" s="22" t="str">
        <f t="shared" si="41"/>
        <v/>
      </c>
      <c r="E268" s="22" t="str">
        <f t="shared" si="42"/>
        <v/>
      </c>
      <c r="F268" s="23" t="str">
        <f t="shared" si="43"/>
        <v/>
      </c>
      <c r="G268" s="24" t="str">
        <f t="shared" si="44"/>
        <v/>
      </c>
      <c r="H268" s="25" t="str">
        <f ca="1" t="shared" si="45"/>
        <v/>
      </c>
      <c r="I268" s="26"/>
    </row>
    <row r="269" ht="36" customHeight="1" spans="1:9">
      <c r="A269" s="19"/>
      <c r="B269" s="20" t="str">
        <f t="shared" si="40"/>
        <v/>
      </c>
      <c r="C269" s="21" t="str">
        <f t="shared" si="46"/>
        <v>[]</v>
      </c>
      <c r="D269" s="22" t="str">
        <f t="shared" si="41"/>
        <v/>
      </c>
      <c r="E269" s="22" t="str">
        <f t="shared" si="42"/>
        <v/>
      </c>
      <c r="F269" s="23" t="str">
        <f t="shared" si="43"/>
        <v/>
      </c>
      <c r="G269" s="24" t="str">
        <f t="shared" si="44"/>
        <v/>
      </c>
      <c r="H269" s="25" t="str">
        <f ca="1" t="shared" si="45"/>
        <v/>
      </c>
      <c r="I269" s="26"/>
    </row>
    <row r="270" ht="36" customHeight="1" spans="1:9">
      <c r="A270" s="19"/>
      <c r="B270" s="20" t="str">
        <f t="shared" si="40"/>
        <v/>
      </c>
      <c r="C270" s="21" t="str">
        <f t="shared" si="46"/>
        <v>[]</v>
      </c>
      <c r="D270" s="22" t="str">
        <f t="shared" si="41"/>
        <v/>
      </c>
      <c r="E270" s="22" t="str">
        <f t="shared" si="42"/>
        <v/>
      </c>
      <c r="F270" s="23" t="str">
        <f t="shared" si="43"/>
        <v/>
      </c>
      <c r="G270" s="24" t="str">
        <f t="shared" si="44"/>
        <v/>
      </c>
      <c r="H270" s="25" t="str">
        <f ca="1" t="shared" si="45"/>
        <v/>
      </c>
      <c r="I270" s="26"/>
    </row>
    <row r="271" ht="36" customHeight="1" spans="1:9">
      <c r="A271" s="19"/>
      <c r="B271" s="20" t="str">
        <f t="shared" si="40"/>
        <v/>
      </c>
      <c r="C271" s="21" t="str">
        <f t="shared" si="46"/>
        <v>[]</v>
      </c>
      <c r="D271" s="22" t="str">
        <f t="shared" si="41"/>
        <v/>
      </c>
      <c r="E271" s="22" t="str">
        <f t="shared" si="42"/>
        <v/>
      </c>
      <c r="F271" s="23" t="str">
        <f t="shared" si="43"/>
        <v/>
      </c>
      <c r="G271" s="24" t="str">
        <f t="shared" si="44"/>
        <v/>
      </c>
      <c r="H271" s="25" t="str">
        <f ca="1" t="shared" si="45"/>
        <v/>
      </c>
      <c r="I271" s="26"/>
    </row>
    <row r="272" ht="36" customHeight="1" spans="1:9">
      <c r="A272" s="19"/>
      <c r="B272" s="20" t="str">
        <f t="shared" si="40"/>
        <v/>
      </c>
      <c r="C272" s="21" t="str">
        <f t="shared" si="46"/>
        <v>[]</v>
      </c>
      <c r="D272" s="22" t="str">
        <f t="shared" si="41"/>
        <v/>
      </c>
      <c r="E272" s="22" t="str">
        <f t="shared" si="42"/>
        <v/>
      </c>
      <c r="F272" s="23" t="str">
        <f t="shared" si="43"/>
        <v/>
      </c>
      <c r="G272" s="24" t="str">
        <f t="shared" si="44"/>
        <v/>
      </c>
      <c r="H272" s="25" t="str">
        <f ca="1" t="shared" si="45"/>
        <v/>
      </c>
      <c r="I272" s="26"/>
    </row>
    <row r="273" ht="36" customHeight="1" spans="1:9">
      <c r="A273" s="19"/>
      <c r="B273" s="20" t="str">
        <f t="shared" si="40"/>
        <v/>
      </c>
      <c r="C273" s="21" t="str">
        <f t="shared" si="46"/>
        <v>[]</v>
      </c>
      <c r="D273" s="22" t="str">
        <f t="shared" si="41"/>
        <v/>
      </c>
      <c r="E273" s="22" t="str">
        <f t="shared" si="42"/>
        <v/>
      </c>
      <c r="F273" s="23" t="str">
        <f t="shared" si="43"/>
        <v/>
      </c>
      <c r="G273" s="24" t="str">
        <f t="shared" si="44"/>
        <v/>
      </c>
      <c r="H273" s="25" t="str">
        <f ca="1" t="shared" si="45"/>
        <v/>
      </c>
      <c r="I273" s="26"/>
    </row>
    <row r="274" ht="36" customHeight="1" spans="1:9">
      <c r="A274" s="19"/>
      <c r="B274" s="20" t="str">
        <f t="shared" si="40"/>
        <v/>
      </c>
      <c r="C274" s="21" t="str">
        <f t="shared" si="46"/>
        <v>[]</v>
      </c>
      <c r="D274" s="22" t="str">
        <f t="shared" si="41"/>
        <v/>
      </c>
      <c r="E274" s="22" t="str">
        <f t="shared" si="42"/>
        <v/>
      </c>
      <c r="F274" s="23" t="str">
        <f t="shared" si="43"/>
        <v/>
      </c>
      <c r="G274" s="24" t="str">
        <f t="shared" si="44"/>
        <v/>
      </c>
      <c r="H274" s="25" t="str">
        <f ca="1" t="shared" si="45"/>
        <v/>
      </c>
      <c r="I274" s="26"/>
    </row>
    <row r="275" ht="36" customHeight="1" spans="1:9">
      <c r="A275" s="19"/>
      <c r="B275" s="20" t="str">
        <f t="shared" si="40"/>
        <v/>
      </c>
      <c r="C275" s="21" t="str">
        <f t="shared" si="46"/>
        <v>[]</v>
      </c>
      <c r="D275" s="22" t="str">
        <f t="shared" si="41"/>
        <v/>
      </c>
      <c r="E275" s="22" t="str">
        <f t="shared" si="42"/>
        <v/>
      </c>
      <c r="F275" s="23" t="str">
        <f t="shared" si="43"/>
        <v/>
      </c>
      <c r="G275" s="24" t="str">
        <f t="shared" si="44"/>
        <v/>
      </c>
      <c r="H275" s="25" t="str">
        <f ca="1" t="shared" si="45"/>
        <v/>
      </c>
      <c r="I275" s="26"/>
    </row>
    <row r="276" ht="36" customHeight="1" spans="1:9">
      <c r="A276" s="19"/>
      <c r="B276" s="20" t="str">
        <f t="shared" si="40"/>
        <v/>
      </c>
      <c r="C276" s="21" t="str">
        <f t="shared" si="46"/>
        <v>[]</v>
      </c>
      <c r="D276" s="22" t="str">
        <f t="shared" si="41"/>
        <v/>
      </c>
      <c r="E276" s="22" t="str">
        <f t="shared" si="42"/>
        <v/>
      </c>
      <c r="F276" s="23" t="str">
        <f t="shared" si="43"/>
        <v/>
      </c>
      <c r="G276" s="24" t="str">
        <f t="shared" si="44"/>
        <v/>
      </c>
      <c r="H276" s="25" t="str">
        <f ca="1" t="shared" si="45"/>
        <v/>
      </c>
      <c r="I276" s="26"/>
    </row>
    <row r="277" ht="36" customHeight="1" spans="1:9">
      <c r="A277" s="19"/>
      <c r="B277" s="20" t="str">
        <f t="shared" si="40"/>
        <v/>
      </c>
      <c r="C277" s="21" t="str">
        <f t="shared" si="46"/>
        <v>[]</v>
      </c>
      <c r="D277" s="22" t="str">
        <f t="shared" si="41"/>
        <v/>
      </c>
      <c r="E277" s="22" t="str">
        <f t="shared" si="42"/>
        <v/>
      </c>
      <c r="F277" s="23" t="str">
        <f t="shared" si="43"/>
        <v/>
      </c>
      <c r="G277" s="24" t="str">
        <f t="shared" si="44"/>
        <v/>
      </c>
      <c r="H277" s="25" t="str">
        <f ca="1" t="shared" si="45"/>
        <v/>
      </c>
      <c r="I277" s="26"/>
    </row>
    <row r="278" ht="36" customHeight="1" spans="1:9">
      <c r="A278" s="19"/>
      <c r="B278" s="20" t="str">
        <f t="shared" si="40"/>
        <v/>
      </c>
      <c r="C278" s="21" t="str">
        <f t="shared" si="46"/>
        <v>[]</v>
      </c>
      <c r="D278" s="22" t="str">
        <f t="shared" si="41"/>
        <v/>
      </c>
      <c r="E278" s="22" t="str">
        <f t="shared" si="42"/>
        <v/>
      </c>
      <c r="F278" s="23" t="str">
        <f t="shared" si="43"/>
        <v/>
      </c>
      <c r="G278" s="24" t="str">
        <f t="shared" si="44"/>
        <v/>
      </c>
      <c r="H278" s="25" t="str">
        <f ca="1" t="shared" si="45"/>
        <v/>
      </c>
      <c r="I278" s="26"/>
    </row>
    <row r="279" ht="36" customHeight="1" spans="1:9">
      <c r="A279" s="19"/>
      <c r="B279" s="20" t="str">
        <f t="shared" si="40"/>
        <v/>
      </c>
      <c r="C279" s="21" t="str">
        <f t="shared" si="46"/>
        <v>[]</v>
      </c>
      <c r="D279" s="22" t="str">
        <f t="shared" si="41"/>
        <v/>
      </c>
      <c r="E279" s="22" t="str">
        <f t="shared" si="42"/>
        <v/>
      </c>
      <c r="F279" s="23" t="str">
        <f t="shared" si="43"/>
        <v/>
      </c>
      <c r="G279" s="24" t="str">
        <f t="shared" si="44"/>
        <v/>
      </c>
      <c r="H279" s="25" t="str">
        <f ca="1" t="shared" si="45"/>
        <v/>
      </c>
      <c r="I279" s="26"/>
    </row>
    <row r="280" ht="36" customHeight="1" spans="1:9">
      <c r="A280" s="19"/>
      <c r="B280" s="20" t="str">
        <f t="shared" si="40"/>
        <v/>
      </c>
      <c r="C280" s="21" t="str">
        <f t="shared" si="46"/>
        <v>[]</v>
      </c>
      <c r="D280" s="22" t="str">
        <f t="shared" si="41"/>
        <v/>
      </c>
      <c r="E280" s="22" t="str">
        <f t="shared" si="42"/>
        <v/>
      </c>
      <c r="F280" s="23" t="str">
        <f t="shared" si="43"/>
        <v/>
      </c>
      <c r="G280" s="24" t="str">
        <f t="shared" si="44"/>
        <v/>
      </c>
      <c r="H280" s="25" t="str">
        <f ca="1" t="shared" si="45"/>
        <v/>
      </c>
      <c r="I280" s="26"/>
    </row>
    <row r="281" ht="36" customHeight="1" spans="1:9">
      <c r="A281" s="19"/>
      <c r="B281" s="20" t="str">
        <f t="shared" si="40"/>
        <v/>
      </c>
      <c r="C281" s="21" t="str">
        <f t="shared" si="46"/>
        <v>[]</v>
      </c>
      <c r="D281" s="22" t="str">
        <f t="shared" si="41"/>
        <v/>
      </c>
      <c r="E281" s="22" t="str">
        <f t="shared" si="42"/>
        <v/>
      </c>
      <c r="F281" s="23" t="str">
        <f t="shared" si="43"/>
        <v/>
      </c>
      <c r="G281" s="24" t="str">
        <f t="shared" si="44"/>
        <v/>
      </c>
      <c r="H281" s="25" t="str">
        <f ca="1" t="shared" si="45"/>
        <v/>
      </c>
      <c r="I281" s="26"/>
    </row>
    <row r="282" ht="36" customHeight="1" spans="1:9">
      <c r="A282" s="19"/>
      <c r="B282" s="20" t="str">
        <f t="shared" si="40"/>
        <v/>
      </c>
      <c r="C282" s="21" t="str">
        <f t="shared" si="46"/>
        <v>[]</v>
      </c>
      <c r="D282" s="22" t="str">
        <f t="shared" si="41"/>
        <v/>
      </c>
      <c r="E282" s="22" t="str">
        <f t="shared" si="42"/>
        <v/>
      </c>
      <c r="F282" s="23" t="str">
        <f t="shared" si="43"/>
        <v/>
      </c>
      <c r="G282" s="24" t="str">
        <f t="shared" si="44"/>
        <v/>
      </c>
      <c r="H282" s="25" t="str">
        <f ca="1" t="shared" si="45"/>
        <v/>
      </c>
      <c r="I282" s="26"/>
    </row>
    <row r="283" ht="36" customHeight="1" spans="1:9">
      <c r="A283" s="19"/>
      <c r="B283" s="20" t="str">
        <f t="shared" si="40"/>
        <v/>
      </c>
      <c r="C283" s="21" t="str">
        <f t="shared" si="46"/>
        <v>[]</v>
      </c>
      <c r="D283" s="22" t="str">
        <f t="shared" si="41"/>
        <v/>
      </c>
      <c r="E283" s="22" t="str">
        <f t="shared" si="42"/>
        <v/>
      </c>
      <c r="F283" s="23" t="str">
        <f t="shared" si="43"/>
        <v/>
      </c>
      <c r="G283" s="24" t="str">
        <f t="shared" si="44"/>
        <v/>
      </c>
      <c r="H283" s="25" t="str">
        <f ca="1" t="shared" si="45"/>
        <v/>
      </c>
      <c r="I283" s="26"/>
    </row>
    <row r="284" ht="36" customHeight="1" spans="1:9">
      <c r="A284" s="19"/>
      <c r="B284" s="20" t="str">
        <f t="shared" si="40"/>
        <v/>
      </c>
      <c r="C284" s="21" t="str">
        <f t="shared" si="46"/>
        <v>[]</v>
      </c>
      <c r="D284" s="22" t="str">
        <f t="shared" si="41"/>
        <v/>
      </c>
      <c r="E284" s="22" t="str">
        <f t="shared" si="42"/>
        <v/>
      </c>
      <c r="F284" s="23" t="str">
        <f t="shared" si="43"/>
        <v/>
      </c>
      <c r="G284" s="24" t="str">
        <f t="shared" si="44"/>
        <v/>
      </c>
      <c r="H284" s="25" t="str">
        <f ca="1" t="shared" si="45"/>
        <v/>
      </c>
      <c r="I284" s="26"/>
    </row>
    <row r="285" ht="36" customHeight="1" spans="1:9">
      <c r="A285" s="19"/>
      <c r="B285" s="20" t="str">
        <f t="shared" si="40"/>
        <v/>
      </c>
      <c r="C285" s="21" t="str">
        <f t="shared" si="46"/>
        <v>[]</v>
      </c>
      <c r="D285" s="22" t="str">
        <f t="shared" si="41"/>
        <v/>
      </c>
      <c r="E285" s="22" t="str">
        <f t="shared" si="42"/>
        <v/>
      </c>
      <c r="F285" s="23" t="str">
        <f t="shared" si="43"/>
        <v/>
      </c>
      <c r="G285" s="24" t="str">
        <f t="shared" si="44"/>
        <v/>
      </c>
      <c r="H285" s="25" t="str">
        <f ca="1" t="shared" si="45"/>
        <v/>
      </c>
      <c r="I285" s="26"/>
    </row>
    <row r="286" ht="36" customHeight="1" spans="1:9">
      <c r="A286" s="19"/>
      <c r="B286" s="20" t="str">
        <f t="shared" si="40"/>
        <v/>
      </c>
      <c r="C286" s="21" t="str">
        <f t="shared" si="46"/>
        <v>[]</v>
      </c>
      <c r="D286" s="22" t="str">
        <f t="shared" si="41"/>
        <v/>
      </c>
      <c r="E286" s="22" t="str">
        <f t="shared" si="42"/>
        <v/>
      </c>
      <c r="F286" s="23" t="str">
        <f t="shared" si="43"/>
        <v/>
      </c>
      <c r="G286" s="24" t="str">
        <f t="shared" si="44"/>
        <v/>
      </c>
      <c r="H286" s="25" t="str">
        <f ca="1" t="shared" si="45"/>
        <v/>
      </c>
      <c r="I286" s="26"/>
    </row>
    <row r="287" ht="36" customHeight="1" spans="1:9">
      <c r="A287" s="19"/>
      <c r="B287" s="20" t="str">
        <f t="shared" si="40"/>
        <v/>
      </c>
      <c r="C287" s="21" t="str">
        <f t="shared" si="46"/>
        <v>[]</v>
      </c>
      <c r="D287" s="22" t="str">
        <f t="shared" si="41"/>
        <v/>
      </c>
      <c r="E287" s="22" t="str">
        <f t="shared" si="42"/>
        <v/>
      </c>
      <c r="F287" s="23" t="str">
        <f t="shared" si="43"/>
        <v/>
      </c>
      <c r="G287" s="24" t="str">
        <f t="shared" si="44"/>
        <v/>
      </c>
      <c r="H287" s="25" t="str">
        <f ca="1" t="shared" si="45"/>
        <v/>
      </c>
      <c r="I287" s="26"/>
    </row>
    <row r="288" ht="36" customHeight="1" spans="1:9">
      <c r="A288" s="19"/>
      <c r="B288" s="20" t="str">
        <f t="shared" si="40"/>
        <v/>
      </c>
      <c r="C288" s="21" t="str">
        <f t="shared" si="46"/>
        <v>[]</v>
      </c>
      <c r="D288" s="22" t="str">
        <f t="shared" si="41"/>
        <v/>
      </c>
      <c r="E288" s="22" t="str">
        <f t="shared" si="42"/>
        <v/>
      </c>
      <c r="F288" s="23" t="str">
        <f t="shared" si="43"/>
        <v/>
      </c>
      <c r="G288" s="24" t="str">
        <f t="shared" si="44"/>
        <v/>
      </c>
      <c r="H288" s="25" t="str">
        <f ca="1" t="shared" si="45"/>
        <v/>
      </c>
      <c r="I288" s="26"/>
    </row>
    <row r="289" ht="36" customHeight="1" spans="1:9">
      <c r="A289" s="19"/>
      <c r="B289" s="20" t="str">
        <f t="shared" si="40"/>
        <v/>
      </c>
      <c r="C289" s="21" t="str">
        <f t="shared" si="46"/>
        <v>[]</v>
      </c>
      <c r="D289" s="22" t="str">
        <f t="shared" si="41"/>
        <v/>
      </c>
      <c r="E289" s="22" t="str">
        <f t="shared" si="42"/>
        <v/>
      </c>
      <c r="F289" s="23" t="str">
        <f t="shared" si="43"/>
        <v/>
      </c>
      <c r="G289" s="24" t="str">
        <f t="shared" si="44"/>
        <v/>
      </c>
      <c r="H289" s="25" t="str">
        <f ca="1" t="shared" si="45"/>
        <v/>
      </c>
      <c r="I289" s="26"/>
    </row>
    <row r="290" ht="36" customHeight="1" spans="1:9">
      <c r="A290" s="19"/>
      <c r="B290" s="20" t="str">
        <f t="shared" si="40"/>
        <v/>
      </c>
      <c r="C290" s="21" t="str">
        <f t="shared" si="46"/>
        <v>[]</v>
      </c>
      <c r="D290" s="22" t="str">
        <f t="shared" si="41"/>
        <v/>
      </c>
      <c r="E290" s="22" t="str">
        <f t="shared" si="42"/>
        <v/>
      </c>
      <c r="F290" s="23" t="str">
        <f t="shared" si="43"/>
        <v/>
      </c>
      <c r="G290" s="24" t="str">
        <f t="shared" si="44"/>
        <v/>
      </c>
      <c r="H290" s="25" t="str">
        <f ca="1" t="shared" si="45"/>
        <v/>
      </c>
      <c r="I290" s="26"/>
    </row>
    <row r="291" ht="36" customHeight="1" spans="1:9">
      <c r="A291" s="19"/>
      <c r="B291" s="20" t="str">
        <f t="shared" si="40"/>
        <v/>
      </c>
      <c r="C291" s="21" t="str">
        <f t="shared" si="46"/>
        <v>[]</v>
      </c>
      <c r="D291" s="22" t="str">
        <f t="shared" si="41"/>
        <v/>
      </c>
      <c r="E291" s="22" t="str">
        <f t="shared" si="42"/>
        <v/>
      </c>
      <c r="F291" s="23" t="str">
        <f t="shared" si="43"/>
        <v/>
      </c>
      <c r="G291" s="24" t="str">
        <f t="shared" si="44"/>
        <v/>
      </c>
      <c r="H291" s="25" t="str">
        <f ca="1" t="shared" si="45"/>
        <v/>
      </c>
      <c r="I291" s="26"/>
    </row>
    <row r="292" ht="36" customHeight="1" spans="1:9">
      <c r="A292" s="19"/>
      <c r="B292" s="20" t="str">
        <f t="shared" si="40"/>
        <v/>
      </c>
      <c r="C292" s="21" t="str">
        <f t="shared" si="46"/>
        <v>[]</v>
      </c>
      <c r="D292" s="22" t="str">
        <f t="shared" si="41"/>
        <v/>
      </c>
      <c r="E292" s="22" t="str">
        <f t="shared" si="42"/>
        <v/>
      </c>
      <c r="F292" s="23" t="str">
        <f t="shared" si="43"/>
        <v/>
      </c>
      <c r="G292" s="24" t="str">
        <f t="shared" si="44"/>
        <v/>
      </c>
      <c r="H292" s="25" t="str">
        <f ca="1" t="shared" si="45"/>
        <v/>
      </c>
      <c r="I292" s="26"/>
    </row>
    <row r="293" ht="36" customHeight="1" spans="1:9">
      <c r="A293" s="19"/>
      <c r="B293" s="20" t="str">
        <f t="shared" si="40"/>
        <v/>
      </c>
      <c r="C293" s="21" t="str">
        <f t="shared" si="46"/>
        <v>[]</v>
      </c>
      <c r="D293" s="22" t="str">
        <f t="shared" si="41"/>
        <v/>
      </c>
      <c r="E293" s="22" t="str">
        <f t="shared" si="42"/>
        <v/>
      </c>
      <c r="F293" s="23" t="str">
        <f t="shared" si="43"/>
        <v/>
      </c>
      <c r="G293" s="24" t="str">
        <f t="shared" si="44"/>
        <v/>
      </c>
      <c r="H293" s="25" t="str">
        <f ca="1" t="shared" si="45"/>
        <v/>
      </c>
      <c r="I293" s="26"/>
    </row>
    <row r="294" ht="36" customHeight="1" spans="1:9">
      <c r="A294" s="19"/>
      <c r="B294" s="20" t="str">
        <f t="shared" si="40"/>
        <v/>
      </c>
      <c r="C294" s="21" t="str">
        <f t="shared" si="46"/>
        <v>[]</v>
      </c>
      <c r="D294" s="22" t="str">
        <f t="shared" si="41"/>
        <v/>
      </c>
      <c r="E294" s="22" t="str">
        <f t="shared" si="42"/>
        <v/>
      </c>
      <c r="F294" s="23" t="str">
        <f t="shared" si="43"/>
        <v/>
      </c>
      <c r="G294" s="24" t="str">
        <f t="shared" si="44"/>
        <v/>
      </c>
      <c r="H294" s="25" t="str">
        <f ca="1" t="shared" si="45"/>
        <v/>
      </c>
      <c r="I294" s="26"/>
    </row>
    <row r="295" ht="36" customHeight="1" spans="1:9">
      <c r="A295" s="19"/>
      <c r="B295" s="20" t="str">
        <f t="shared" si="40"/>
        <v/>
      </c>
      <c r="C295" s="21" t="str">
        <f t="shared" si="46"/>
        <v>[]</v>
      </c>
      <c r="D295" s="22" t="str">
        <f t="shared" si="41"/>
        <v/>
      </c>
      <c r="E295" s="22" t="str">
        <f t="shared" si="42"/>
        <v/>
      </c>
      <c r="F295" s="23" t="str">
        <f t="shared" si="43"/>
        <v/>
      </c>
      <c r="G295" s="24" t="str">
        <f t="shared" si="44"/>
        <v/>
      </c>
      <c r="H295" s="25" t="str">
        <f ca="1" t="shared" si="45"/>
        <v/>
      </c>
      <c r="I295" s="26"/>
    </row>
    <row r="296" ht="36" customHeight="1" spans="1:9">
      <c r="A296" s="19"/>
      <c r="B296" s="20" t="str">
        <f t="shared" si="40"/>
        <v/>
      </c>
      <c r="C296" s="21" t="str">
        <f t="shared" si="46"/>
        <v>[]</v>
      </c>
      <c r="D296" s="22" t="str">
        <f t="shared" si="41"/>
        <v/>
      </c>
      <c r="E296" s="22" t="str">
        <f t="shared" si="42"/>
        <v/>
      </c>
      <c r="F296" s="23" t="str">
        <f t="shared" si="43"/>
        <v/>
      </c>
      <c r="G296" s="24" t="str">
        <f t="shared" si="44"/>
        <v/>
      </c>
      <c r="H296" s="25" t="str">
        <f ca="1" t="shared" si="45"/>
        <v/>
      </c>
      <c r="I296" s="26"/>
    </row>
    <row r="297" ht="36" customHeight="1" spans="1:9">
      <c r="A297" s="19"/>
      <c r="B297" s="20" t="str">
        <f t="shared" si="40"/>
        <v/>
      </c>
      <c r="C297" s="21" t="str">
        <f t="shared" si="46"/>
        <v>[]</v>
      </c>
      <c r="D297" s="22" t="str">
        <f t="shared" si="41"/>
        <v/>
      </c>
      <c r="E297" s="22" t="str">
        <f t="shared" si="42"/>
        <v/>
      </c>
      <c r="F297" s="23" t="str">
        <f t="shared" si="43"/>
        <v/>
      </c>
      <c r="G297" s="24" t="str">
        <f t="shared" si="44"/>
        <v/>
      </c>
      <c r="H297" s="25" t="str">
        <f ca="1" t="shared" si="45"/>
        <v/>
      </c>
      <c r="I297" s="26"/>
    </row>
    <row r="298" ht="36" customHeight="1" spans="1:9">
      <c r="A298" s="19"/>
      <c r="B298" s="20" t="str">
        <f t="shared" si="40"/>
        <v/>
      </c>
      <c r="C298" s="21" t="str">
        <f t="shared" si="46"/>
        <v>[]</v>
      </c>
      <c r="D298" s="22" t="str">
        <f t="shared" si="41"/>
        <v/>
      </c>
      <c r="E298" s="22" t="str">
        <f t="shared" si="42"/>
        <v/>
      </c>
      <c r="F298" s="23" t="str">
        <f t="shared" si="43"/>
        <v/>
      </c>
      <c r="G298" s="24" t="str">
        <f t="shared" si="44"/>
        <v/>
      </c>
      <c r="H298" s="25" t="str">
        <f ca="1" t="shared" si="45"/>
        <v/>
      </c>
      <c r="I298" s="26"/>
    </row>
    <row r="299" ht="36" customHeight="1" spans="1:9">
      <c r="A299" s="19"/>
      <c r="B299" s="20" t="str">
        <f t="shared" si="40"/>
        <v/>
      </c>
      <c r="C299" s="21" t="str">
        <f t="shared" si="46"/>
        <v>[]</v>
      </c>
      <c r="D299" s="22" t="str">
        <f t="shared" si="41"/>
        <v/>
      </c>
      <c r="E299" s="22" t="str">
        <f t="shared" si="42"/>
        <v/>
      </c>
      <c r="F299" s="23" t="str">
        <f t="shared" si="43"/>
        <v/>
      </c>
      <c r="G299" s="24" t="str">
        <f t="shared" si="44"/>
        <v/>
      </c>
      <c r="H299" s="25" t="str">
        <f ca="1" t="shared" si="45"/>
        <v/>
      </c>
      <c r="I299" s="26"/>
    </row>
    <row r="300" ht="36" customHeight="1" spans="1:9">
      <c r="A300" s="19"/>
      <c r="B300" s="20" t="str">
        <f t="shared" si="40"/>
        <v/>
      </c>
      <c r="C300" s="21" t="str">
        <f t="shared" si="46"/>
        <v>[]</v>
      </c>
      <c r="D300" s="22" t="str">
        <f t="shared" si="41"/>
        <v/>
      </c>
      <c r="E300" s="22" t="str">
        <f t="shared" si="42"/>
        <v/>
      </c>
      <c r="F300" s="23" t="str">
        <f t="shared" si="43"/>
        <v/>
      </c>
      <c r="G300" s="24" t="str">
        <f t="shared" si="44"/>
        <v/>
      </c>
      <c r="H300" s="25" t="str">
        <f ca="1" t="shared" si="45"/>
        <v/>
      </c>
      <c r="I300" s="26"/>
    </row>
    <row r="301" ht="36" customHeight="1" spans="1:9">
      <c r="A301" s="19"/>
      <c r="B301" s="20" t="str">
        <f t="shared" si="40"/>
        <v/>
      </c>
      <c r="C301" s="21" t="str">
        <f t="shared" si="46"/>
        <v>[]</v>
      </c>
      <c r="D301" s="22" t="str">
        <f t="shared" si="41"/>
        <v/>
      </c>
      <c r="E301" s="22" t="str">
        <f t="shared" si="42"/>
        <v/>
      </c>
      <c r="F301" s="23" t="str">
        <f t="shared" si="43"/>
        <v/>
      </c>
      <c r="G301" s="24" t="str">
        <f t="shared" si="44"/>
        <v/>
      </c>
      <c r="H301" s="25" t="str">
        <f ca="1" t="shared" si="45"/>
        <v/>
      </c>
      <c r="I301" s="26"/>
    </row>
    <row r="302" ht="36" customHeight="1" spans="1:9">
      <c r="A302" s="19"/>
      <c r="B302" s="20" t="str">
        <f t="shared" si="40"/>
        <v/>
      </c>
      <c r="C302" s="21" t="str">
        <f t="shared" si="46"/>
        <v>[]</v>
      </c>
      <c r="D302" s="22" t="str">
        <f t="shared" si="41"/>
        <v/>
      </c>
      <c r="E302" s="22" t="str">
        <f t="shared" si="42"/>
        <v/>
      </c>
      <c r="F302" s="23" t="str">
        <f t="shared" si="43"/>
        <v/>
      </c>
      <c r="G302" s="24" t="str">
        <f t="shared" si="44"/>
        <v/>
      </c>
      <c r="H302" s="25" t="str">
        <f ca="1" t="shared" si="45"/>
        <v/>
      </c>
      <c r="I302" s="26"/>
    </row>
    <row r="303" ht="36" customHeight="1" spans="1:9">
      <c r="A303" s="19"/>
      <c r="B303" s="20" t="str">
        <f t="shared" si="40"/>
        <v/>
      </c>
      <c r="C303" s="21" t="str">
        <f t="shared" si="46"/>
        <v>[]</v>
      </c>
      <c r="D303" s="22" t="str">
        <f t="shared" si="41"/>
        <v/>
      </c>
      <c r="E303" s="22" t="str">
        <f t="shared" si="42"/>
        <v/>
      </c>
      <c r="F303" s="23" t="str">
        <f t="shared" si="43"/>
        <v/>
      </c>
      <c r="G303" s="24" t="str">
        <f t="shared" si="44"/>
        <v/>
      </c>
      <c r="H303" s="25" t="str">
        <f ca="1" t="shared" si="45"/>
        <v/>
      </c>
      <c r="I303" s="26"/>
    </row>
    <row r="304" ht="36" customHeight="1" spans="1:9">
      <c r="A304" s="19"/>
      <c r="B304" s="20" t="str">
        <f t="shared" si="40"/>
        <v/>
      </c>
      <c r="C304" s="21" t="str">
        <f t="shared" si="46"/>
        <v>[]</v>
      </c>
      <c r="D304" s="22" t="str">
        <f t="shared" si="41"/>
        <v/>
      </c>
      <c r="E304" s="22" t="str">
        <f t="shared" si="42"/>
        <v/>
      </c>
      <c r="F304" s="23" t="str">
        <f t="shared" si="43"/>
        <v/>
      </c>
      <c r="G304" s="24" t="str">
        <f t="shared" si="44"/>
        <v/>
      </c>
      <c r="H304" s="25" t="str">
        <f ca="1" t="shared" si="45"/>
        <v/>
      </c>
      <c r="I304" s="26"/>
    </row>
    <row r="305" ht="36" customHeight="1" spans="1:9">
      <c r="A305" s="19"/>
      <c r="B305" s="20" t="str">
        <f t="shared" si="40"/>
        <v/>
      </c>
      <c r="C305" s="21" t="str">
        <f t="shared" si="46"/>
        <v>[]</v>
      </c>
      <c r="D305" s="22" t="str">
        <f t="shared" si="41"/>
        <v/>
      </c>
      <c r="E305" s="22" t="str">
        <f t="shared" si="42"/>
        <v/>
      </c>
      <c r="F305" s="23" t="str">
        <f t="shared" si="43"/>
        <v/>
      </c>
      <c r="G305" s="24" t="str">
        <f t="shared" si="44"/>
        <v/>
      </c>
      <c r="H305" s="25" t="str">
        <f ca="1" t="shared" si="45"/>
        <v/>
      </c>
      <c r="I305" s="26"/>
    </row>
    <row r="306" ht="36" customHeight="1" spans="1:9">
      <c r="A306" s="19"/>
      <c r="B306" s="20" t="str">
        <f t="shared" si="40"/>
        <v/>
      </c>
      <c r="C306" s="21" t="str">
        <f t="shared" si="46"/>
        <v>[]</v>
      </c>
      <c r="D306" s="22" t="str">
        <f t="shared" si="41"/>
        <v/>
      </c>
      <c r="E306" s="22" t="str">
        <f t="shared" si="42"/>
        <v/>
      </c>
      <c r="F306" s="23" t="str">
        <f t="shared" si="43"/>
        <v/>
      </c>
      <c r="G306" s="24" t="str">
        <f t="shared" si="44"/>
        <v/>
      </c>
      <c r="H306" s="25" t="str">
        <f ca="1" t="shared" si="45"/>
        <v/>
      </c>
      <c r="I306" s="26"/>
    </row>
    <row r="307" ht="36" customHeight="1" spans="1:9">
      <c r="A307" s="19"/>
      <c r="B307" s="20" t="str">
        <f t="shared" si="40"/>
        <v/>
      </c>
      <c r="C307" s="21" t="str">
        <f t="shared" si="46"/>
        <v>[]</v>
      </c>
      <c r="D307" s="22" t="str">
        <f t="shared" si="41"/>
        <v/>
      </c>
      <c r="E307" s="22" t="str">
        <f t="shared" si="42"/>
        <v/>
      </c>
      <c r="F307" s="23" t="str">
        <f t="shared" si="43"/>
        <v/>
      </c>
      <c r="G307" s="24" t="str">
        <f t="shared" si="44"/>
        <v/>
      </c>
      <c r="H307" s="25" t="str">
        <f ca="1" t="shared" si="45"/>
        <v/>
      </c>
      <c r="I307" s="26"/>
    </row>
    <row r="308" ht="36" customHeight="1" spans="1:9">
      <c r="A308" s="19"/>
      <c r="B308" s="20" t="str">
        <f t="shared" si="40"/>
        <v/>
      </c>
      <c r="C308" s="21" t="str">
        <f t="shared" si="46"/>
        <v>[]</v>
      </c>
      <c r="D308" s="22" t="str">
        <f t="shared" si="41"/>
        <v/>
      </c>
      <c r="E308" s="22" t="str">
        <f t="shared" si="42"/>
        <v/>
      </c>
      <c r="F308" s="23" t="str">
        <f t="shared" si="43"/>
        <v/>
      </c>
      <c r="G308" s="24" t="str">
        <f t="shared" si="44"/>
        <v/>
      </c>
      <c r="H308" s="25" t="str">
        <f ca="1" t="shared" si="45"/>
        <v/>
      </c>
      <c r="I308" s="26"/>
    </row>
    <row r="309" ht="36" customHeight="1" spans="1:9">
      <c r="A309" s="19"/>
      <c r="B309" s="20" t="str">
        <f t="shared" si="40"/>
        <v/>
      </c>
      <c r="C309" s="21" t="str">
        <f t="shared" si="46"/>
        <v>[]</v>
      </c>
      <c r="D309" s="22" t="str">
        <f t="shared" si="41"/>
        <v/>
      </c>
      <c r="E309" s="22" t="str">
        <f t="shared" si="42"/>
        <v/>
      </c>
      <c r="F309" s="23" t="str">
        <f t="shared" si="43"/>
        <v/>
      </c>
      <c r="G309" s="24" t="str">
        <f t="shared" si="44"/>
        <v/>
      </c>
      <c r="H309" s="25" t="str">
        <f ca="1" t="shared" si="45"/>
        <v/>
      </c>
      <c r="I309" s="26"/>
    </row>
    <row r="310" ht="36" customHeight="1" spans="1:9">
      <c r="A310" s="19"/>
      <c r="B310" s="20" t="str">
        <f t="shared" si="40"/>
        <v/>
      </c>
      <c r="C310" s="21" t="str">
        <f t="shared" si="46"/>
        <v>[]</v>
      </c>
      <c r="D310" s="22" t="str">
        <f t="shared" si="41"/>
        <v/>
      </c>
      <c r="E310" s="22" t="str">
        <f t="shared" si="42"/>
        <v/>
      </c>
      <c r="F310" s="23" t="str">
        <f t="shared" si="43"/>
        <v/>
      </c>
      <c r="G310" s="24" t="str">
        <f t="shared" si="44"/>
        <v/>
      </c>
      <c r="H310" s="25" t="str">
        <f ca="1" t="shared" si="45"/>
        <v/>
      </c>
      <c r="I310" s="26"/>
    </row>
    <row r="311" ht="36" customHeight="1" spans="1:9">
      <c r="A311" s="19"/>
      <c r="B311" s="20" t="str">
        <f t="shared" si="40"/>
        <v/>
      </c>
      <c r="C311" s="21" t="str">
        <f t="shared" si="46"/>
        <v>[]</v>
      </c>
      <c r="D311" s="22" t="str">
        <f t="shared" si="41"/>
        <v/>
      </c>
      <c r="E311" s="22" t="str">
        <f t="shared" si="42"/>
        <v/>
      </c>
      <c r="F311" s="23" t="str">
        <f t="shared" si="43"/>
        <v/>
      </c>
      <c r="G311" s="24" t="str">
        <f t="shared" si="44"/>
        <v/>
      </c>
      <c r="H311" s="25" t="str">
        <f ca="1" t="shared" si="45"/>
        <v/>
      </c>
      <c r="I311" s="26"/>
    </row>
    <row r="312" ht="36" customHeight="1" spans="1:9">
      <c r="A312" s="19"/>
      <c r="B312" s="20" t="str">
        <f t="shared" ref="B312:B375" si="47">IFERROR("@"&amp;MID(A312,SEARCH("{",A312)+1,SEARCH(",",A312)-SEARCH("{",A312)-1),"")</f>
        <v/>
      </c>
      <c r="C312" s="21" t="str">
        <f t="shared" si="46"/>
        <v>[]</v>
      </c>
      <c r="D312" s="22" t="str">
        <f t="shared" ref="D312:D375" si="48">IFERROR(MID(A312,SEARCH("year = {",A312)+8,4),"")</f>
        <v/>
      </c>
      <c r="E312" s="22" t="str">
        <f t="shared" ref="E312:E375" si="49">IFERROR(MID(A312,SEARCH("author = {",A312)+10,SEARCH("}",A312,SEARCH("author = {",A312))-SEARCH("author = {",A312)-10),"")</f>
        <v/>
      </c>
      <c r="F312" s="23" t="str">
        <f t="shared" ref="F312:F375" si="50">IFERROR(IF(ISERROR(FIND("title =",A312)),"",MID(A312,FIND("title =",A312)+9,FIND("},",A312,FIND("title =",A312))-FIND("title =",A312)-9)),"")</f>
        <v/>
      </c>
      <c r="G312" s="24" t="str">
        <f t="shared" ref="G312:G375" si="51">IFERROR("https://doi.org/"&amp;MID(A312,SEARCH("doi = {",A312)+7,FIND("}",A312,SEARCH("doi = {",A312))-SEARCH("doi = {",A312)-7),"")</f>
        <v/>
      </c>
      <c r="H312" s="25" t="str">
        <f ca="1" t="shared" ref="H312:H375" si="52">IF(A312&lt;&gt;"",IF(H312&lt;&gt;"",H312,NOW()),"")</f>
        <v/>
      </c>
      <c r="I312" s="26"/>
    </row>
    <row r="313" ht="36" customHeight="1" spans="1:9">
      <c r="A313" s="19"/>
      <c r="B313" s="20" t="str">
        <f t="shared" si="47"/>
        <v/>
      </c>
      <c r="C313" s="21" t="str">
        <f t="shared" ref="C313:C376" si="53">"["&amp;B313&amp;"]"</f>
        <v>[]</v>
      </c>
      <c r="D313" s="22" t="str">
        <f t="shared" si="48"/>
        <v/>
      </c>
      <c r="E313" s="22" t="str">
        <f t="shared" si="49"/>
        <v/>
      </c>
      <c r="F313" s="23" t="str">
        <f t="shared" si="50"/>
        <v/>
      </c>
      <c r="G313" s="24" t="str">
        <f t="shared" si="51"/>
        <v/>
      </c>
      <c r="H313" s="25" t="str">
        <f ca="1" t="shared" si="52"/>
        <v/>
      </c>
      <c r="I313" s="26"/>
    </row>
    <row r="314" ht="36" customHeight="1" spans="1:9">
      <c r="A314" s="19"/>
      <c r="B314" s="20" t="str">
        <f t="shared" si="47"/>
        <v/>
      </c>
      <c r="C314" s="21" t="str">
        <f t="shared" si="53"/>
        <v>[]</v>
      </c>
      <c r="D314" s="22" t="str">
        <f t="shared" si="48"/>
        <v/>
      </c>
      <c r="E314" s="22" t="str">
        <f t="shared" si="49"/>
        <v/>
      </c>
      <c r="F314" s="23" t="str">
        <f t="shared" si="50"/>
        <v/>
      </c>
      <c r="G314" s="24" t="str">
        <f t="shared" si="51"/>
        <v/>
      </c>
      <c r="H314" s="25" t="str">
        <f ca="1" t="shared" si="52"/>
        <v/>
      </c>
      <c r="I314" s="26"/>
    </row>
    <row r="315" ht="36" customHeight="1" spans="1:9">
      <c r="A315" s="19"/>
      <c r="B315" s="20" t="str">
        <f t="shared" si="47"/>
        <v/>
      </c>
      <c r="C315" s="21" t="str">
        <f t="shared" si="53"/>
        <v>[]</v>
      </c>
      <c r="D315" s="22" t="str">
        <f t="shared" si="48"/>
        <v/>
      </c>
      <c r="E315" s="22" t="str">
        <f t="shared" si="49"/>
        <v/>
      </c>
      <c r="F315" s="23" t="str">
        <f t="shared" si="50"/>
        <v/>
      </c>
      <c r="G315" s="24" t="str">
        <f t="shared" si="51"/>
        <v/>
      </c>
      <c r="H315" s="25" t="str">
        <f ca="1" t="shared" si="52"/>
        <v/>
      </c>
      <c r="I315" s="26"/>
    </row>
    <row r="316" ht="36" customHeight="1" spans="1:9">
      <c r="A316" s="19"/>
      <c r="B316" s="20" t="str">
        <f t="shared" si="47"/>
        <v/>
      </c>
      <c r="C316" s="21" t="str">
        <f t="shared" si="53"/>
        <v>[]</v>
      </c>
      <c r="D316" s="22" t="str">
        <f t="shared" si="48"/>
        <v/>
      </c>
      <c r="E316" s="22" t="str">
        <f t="shared" si="49"/>
        <v/>
      </c>
      <c r="F316" s="23" t="str">
        <f t="shared" si="50"/>
        <v/>
      </c>
      <c r="G316" s="24" t="str">
        <f t="shared" si="51"/>
        <v/>
      </c>
      <c r="H316" s="25" t="str">
        <f ca="1" t="shared" si="52"/>
        <v/>
      </c>
      <c r="I316" s="26"/>
    </row>
    <row r="317" ht="36" customHeight="1" spans="1:9">
      <c r="A317" s="19"/>
      <c r="B317" s="20" t="str">
        <f t="shared" si="47"/>
        <v/>
      </c>
      <c r="C317" s="21" t="str">
        <f t="shared" si="53"/>
        <v>[]</v>
      </c>
      <c r="D317" s="22" t="str">
        <f t="shared" si="48"/>
        <v/>
      </c>
      <c r="E317" s="22" t="str">
        <f t="shared" si="49"/>
        <v/>
      </c>
      <c r="F317" s="23" t="str">
        <f t="shared" si="50"/>
        <v/>
      </c>
      <c r="G317" s="24" t="str">
        <f t="shared" si="51"/>
        <v/>
      </c>
      <c r="H317" s="25" t="str">
        <f ca="1" t="shared" si="52"/>
        <v/>
      </c>
      <c r="I317" s="26"/>
    </row>
    <row r="318" ht="36" customHeight="1" spans="1:9">
      <c r="A318" s="19"/>
      <c r="B318" s="20" t="str">
        <f t="shared" si="47"/>
        <v/>
      </c>
      <c r="C318" s="21" t="str">
        <f t="shared" si="53"/>
        <v>[]</v>
      </c>
      <c r="D318" s="22" t="str">
        <f t="shared" si="48"/>
        <v/>
      </c>
      <c r="E318" s="22" t="str">
        <f t="shared" si="49"/>
        <v/>
      </c>
      <c r="F318" s="23" t="str">
        <f t="shared" si="50"/>
        <v/>
      </c>
      <c r="G318" s="24" t="str">
        <f t="shared" si="51"/>
        <v/>
      </c>
      <c r="H318" s="25" t="str">
        <f ca="1" t="shared" si="52"/>
        <v/>
      </c>
      <c r="I318" s="26"/>
    </row>
    <row r="319" ht="36" customHeight="1" spans="1:9">
      <c r="A319" s="19"/>
      <c r="B319" s="20" t="str">
        <f t="shared" si="47"/>
        <v/>
      </c>
      <c r="C319" s="21" t="str">
        <f t="shared" si="53"/>
        <v>[]</v>
      </c>
      <c r="D319" s="22" t="str">
        <f t="shared" si="48"/>
        <v/>
      </c>
      <c r="E319" s="22" t="str">
        <f t="shared" si="49"/>
        <v/>
      </c>
      <c r="F319" s="23" t="str">
        <f t="shared" si="50"/>
        <v/>
      </c>
      <c r="G319" s="24" t="str">
        <f t="shared" si="51"/>
        <v/>
      </c>
      <c r="H319" s="25" t="str">
        <f ca="1" t="shared" si="52"/>
        <v/>
      </c>
      <c r="I319" s="26"/>
    </row>
    <row r="320" ht="36" customHeight="1" spans="1:9">
      <c r="A320" s="19"/>
      <c r="B320" s="20" t="str">
        <f t="shared" si="47"/>
        <v/>
      </c>
      <c r="C320" s="21" t="str">
        <f t="shared" si="53"/>
        <v>[]</v>
      </c>
      <c r="D320" s="22" t="str">
        <f t="shared" si="48"/>
        <v/>
      </c>
      <c r="E320" s="22" t="str">
        <f t="shared" si="49"/>
        <v/>
      </c>
      <c r="F320" s="23" t="str">
        <f t="shared" si="50"/>
        <v/>
      </c>
      <c r="G320" s="24" t="str">
        <f t="shared" si="51"/>
        <v/>
      </c>
      <c r="H320" s="25" t="str">
        <f ca="1" t="shared" si="52"/>
        <v/>
      </c>
      <c r="I320" s="26"/>
    </row>
    <row r="321" ht="36" customHeight="1" spans="1:9">
      <c r="A321" s="19"/>
      <c r="B321" s="20" t="str">
        <f t="shared" si="47"/>
        <v/>
      </c>
      <c r="C321" s="21" t="str">
        <f t="shared" si="53"/>
        <v>[]</v>
      </c>
      <c r="D321" s="22" t="str">
        <f t="shared" si="48"/>
        <v/>
      </c>
      <c r="E321" s="22" t="str">
        <f t="shared" si="49"/>
        <v/>
      </c>
      <c r="F321" s="23" t="str">
        <f t="shared" si="50"/>
        <v/>
      </c>
      <c r="G321" s="24" t="str">
        <f t="shared" si="51"/>
        <v/>
      </c>
      <c r="H321" s="25" t="str">
        <f ca="1" t="shared" si="52"/>
        <v/>
      </c>
      <c r="I321" s="26"/>
    </row>
    <row r="322" ht="36" customHeight="1" spans="1:9">
      <c r="A322" s="19"/>
      <c r="B322" s="20" t="str">
        <f t="shared" si="47"/>
        <v/>
      </c>
      <c r="C322" s="21" t="str">
        <f t="shared" si="53"/>
        <v>[]</v>
      </c>
      <c r="D322" s="22" t="str">
        <f t="shared" si="48"/>
        <v/>
      </c>
      <c r="E322" s="22" t="str">
        <f t="shared" si="49"/>
        <v/>
      </c>
      <c r="F322" s="23" t="str">
        <f t="shared" si="50"/>
        <v/>
      </c>
      <c r="G322" s="24" t="str">
        <f t="shared" si="51"/>
        <v/>
      </c>
      <c r="H322" s="25" t="str">
        <f ca="1" t="shared" si="52"/>
        <v/>
      </c>
      <c r="I322" s="26"/>
    </row>
    <row r="323" ht="36" customHeight="1" spans="1:9">
      <c r="A323" s="19"/>
      <c r="B323" s="20" t="str">
        <f t="shared" si="47"/>
        <v/>
      </c>
      <c r="C323" s="21" t="str">
        <f t="shared" si="53"/>
        <v>[]</v>
      </c>
      <c r="D323" s="22" t="str">
        <f t="shared" si="48"/>
        <v/>
      </c>
      <c r="E323" s="22" t="str">
        <f t="shared" si="49"/>
        <v/>
      </c>
      <c r="F323" s="23" t="str">
        <f t="shared" si="50"/>
        <v/>
      </c>
      <c r="G323" s="24" t="str">
        <f t="shared" si="51"/>
        <v/>
      </c>
      <c r="H323" s="25" t="str">
        <f ca="1" t="shared" si="52"/>
        <v/>
      </c>
      <c r="I323" s="26"/>
    </row>
    <row r="324" ht="36" customHeight="1" spans="1:9">
      <c r="A324" s="19"/>
      <c r="B324" s="20" t="str">
        <f t="shared" si="47"/>
        <v/>
      </c>
      <c r="C324" s="21" t="str">
        <f t="shared" si="53"/>
        <v>[]</v>
      </c>
      <c r="D324" s="22" t="str">
        <f t="shared" si="48"/>
        <v/>
      </c>
      <c r="E324" s="22" t="str">
        <f t="shared" si="49"/>
        <v/>
      </c>
      <c r="F324" s="23" t="str">
        <f t="shared" si="50"/>
        <v/>
      </c>
      <c r="G324" s="24" t="str">
        <f t="shared" si="51"/>
        <v/>
      </c>
      <c r="H324" s="25" t="str">
        <f ca="1" t="shared" si="52"/>
        <v/>
      </c>
      <c r="I324" s="26"/>
    </row>
    <row r="325" ht="36" customHeight="1" spans="1:9">
      <c r="A325" s="19"/>
      <c r="B325" s="20" t="str">
        <f t="shared" si="47"/>
        <v/>
      </c>
      <c r="C325" s="21" t="str">
        <f t="shared" si="53"/>
        <v>[]</v>
      </c>
      <c r="D325" s="22" t="str">
        <f t="shared" si="48"/>
        <v/>
      </c>
      <c r="E325" s="22" t="str">
        <f t="shared" si="49"/>
        <v/>
      </c>
      <c r="F325" s="23" t="str">
        <f t="shared" si="50"/>
        <v/>
      </c>
      <c r="G325" s="24" t="str">
        <f t="shared" si="51"/>
        <v/>
      </c>
      <c r="H325" s="25" t="str">
        <f ca="1" t="shared" si="52"/>
        <v/>
      </c>
      <c r="I325" s="26"/>
    </row>
    <row r="326" ht="36" customHeight="1" spans="1:9">
      <c r="A326" s="19"/>
      <c r="B326" s="20" t="str">
        <f t="shared" si="47"/>
        <v/>
      </c>
      <c r="C326" s="21" t="str">
        <f t="shared" si="53"/>
        <v>[]</v>
      </c>
      <c r="D326" s="22" t="str">
        <f t="shared" si="48"/>
        <v/>
      </c>
      <c r="E326" s="22" t="str">
        <f t="shared" si="49"/>
        <v/>
      </c>
      <c r="F326" s="23" t="str">
        <f t="shared" si="50"/>
        <v/>
      </c>
      <c r="G326" s="24" t="str">
        <f t="shared" si="51"/>
        <v/>
      </c>
      <c r="H326" s="25" t="str">
        <f ca="1" t="shared" si="52"/>
        <v/>
      </c>
      <c r="I326" s="26"/>
    </row>
    <row r="327" ht="36" customHeight="1" spans="1:9">
      <c r="A327" s="19"/>
      <c r="B327" s="20" t="str">
        <f t="shared" si="47"/>
        <v/>
      </c>
      <c r="C327" s="21" t="str">
        <f t="shared" si="53"/>
        <v>[]</v>
      </c>
      <c r="D327" s="22" t="str">
        <f t="shared" si="48"/>
        <v/>
      </c>
      <c r="E327" s="22" t="str">
        <f t="shared" si="49"/>
        <v/>
      </c>
      <c r="F327" s="23" t="str">
        <f t="shared" si="50"/>
        <v/>
      </c>
      <c r="G327" s="24" t="str">
        <f t="shared" si="51"/>
        <v/>
      </c>
      <c r="H327" s="25" t="str">
        <f ca="1" t="shared" si="52"/>
        <v/>
      </c>
      <c r="I327" s="26"/>
    </row>
    <row r="328" ht="36" customHeight="1" spans="1:9">
      <c r="A328" s="19"/>
      <c r="B328" s="20" t="str">
        <f t="shared" si="47"/>
        <v/>
      </c>
      <c r="C328" s="21" t="str">
        <f t="shared" si="53"/>
        <v>[]</v>
      </c>
      <c r="D328" s="22" t="str">
        <f t="shared" si="48"/>
        <v/>
      </c>
      <c r="E328" s="22" t="str">
        <f t="shared" si="49"/>
        <v/>
      </c>
      <c r="F328" s="23" t="str">
        <f t="shared" si="50"/>
        <v/>
      </c>
      <c r="G328" s="24" t="str">
        <f t="shared" si="51"/>
        <v/>
      </c>
      <c r="H328" s="25" t="str">
        <f ca="1" t="shared" si="52"/>
        <v/>
      </c>
      <c r="I328" s="26"/>
    </row>
    <row r="329" ht="36" customHeight="1" spans="1:9">
      <c r="A329" s="19"/>
      <c r="B329" s="20" t="str">
        <f t="shared" si="47"/>
        <v/>
      </c>
      <c r="C329" s="21" t="str">
        <f t="shared" si="53"/>
        <v>[]</v>
      </c>
      <c r="D329" s="22" t="str">
        <f t="shared" si="48"/>
        <v/>
      </c>
      <c r="E329" s="22" t="str">
        <f t="shared" si="49"/>
        <v/>
      </c>
      <c r="F329" s="23" t="str">
        <f t="shared" si="50"/>
        <v/>
      </c>
      <c r="G329" s="24" t="str">
        <f t="shared" si="51"/>
        <v/>
      </c>
      <c r="H329" s="25" t="str">
        <f ca="1" t="shared" si="52"/>
        <v/>
      </c>
      <c r="I329" s="26"/>
    </row>
    <row r="330" ht="36" customHeight="1" spans="1:9">
      <c r="A330" s="19"/>
      <c r="B330" s="20" t="str">
        <f t="shared" si="47"/>
        <v/>
      </c>
      <c r="C330" s="21" t="str">
        <f t="shared" si="53"/>
        <v>[]</v>
      </c>
      <c r="D330" s="22" t="str">
        <f t="shared" si="48"/>
        <v/>
      </c>
      <c r="E330" s="22" t="str">
        <f t="shared" si="49"/>
        <v/>
      </c>
      <c r="F330" s="23" t="str">
        <f t="shared" si="50"/>
        <v/>
      </c>
      <c r="G330" s="24" t="str">
        <f t="shared" si="51"/>
        <v/>
      </c>
      <c r="H330" s="25" t="str">
        <f ca="1" t="shared" si="52"/>
        <v/>
      </c>
      <c r="I330" s="26"/>
    </row>
    <row r="331" ht="36" customHeight="1" spans="1:9">
      <c r="A331" s="19"/>
      <c r="B331" s="20" t="str">
        <f t="shared" si="47"/>
        <v/>
      </c>
      <c r="C331" s="21" t="str">
        <f t="shared" si="53"/>
        <v>[]</v>
      </c>
      <c r="D331" s="22" t="str">
        <f t="shared" si="48"/>
        <v/>
      </c>
      <c r="E331" s="22" t="str">
        <f t="shared" si="49"/>
        <v/>
      </c>
      <c r="F331" s="23" t="str">
        <f t="shared" si="50"/>
        <v/>
      </c>
      <c r="G331" s="24" t="str">
        <f t="shared" si="51"/>
        <v/>
      </c>
      <c r="H331" s="25" t="str">
        <f ca="1" t="shared" si="52"/>
        <v/>
      </c>
      <c r="I331" s="26"/>
    </row>
    <row r="332" ht="36" customHeight="1" spans="1:9">
      <c r="A332" s="19"/>
      <c r="B332" s="20" t="str">
        <f t="shared" si="47"/>
        <v/>
      </c>
      <c r="C332" s="21" t="str">
        <f t="shared" si="53"/>
        <v>[]</v>
      </c>
      <c r="D332" s="22" t="str">
        <f t="shared" si="48"/>
        <v/>
      </c>
      <c r="E332" s="22" t="str">
        <f t="shared" si="49"/>
        <v/>
      </c>
      <c r="F332" s="23" t="str">
        <f t="shared" si="50"/>
        <v/>
      </c>
      <c r="G332" s="24" t="str">
        <f t="shared" si="51"/>
        <v/>
      </c>
      <c r="H332" s="25" t="str">
        <f ca="1" t="shared" si="52"/>
        <v/>
      </c>
      <c r="I332" s="26"/>
    </row>
    <row r="333" ht="36" customHeight="1" spans="1:9">
      <c r="A333" s="19"/>
      <c r="B333" s="20" t="str">
        <f t="shared" si="47"/>
        <v/>
      </c>
      <c r="C333" s="21" t="str">
        <f t="shared" si="53"/>
        <v>[]</v>
      </c>
      <c r="D333" s="22" t="str">
        <f t="shared" si="48"/>
        <v/>
      </c>
      <c r="E333" s="22" t="str">
        <f t="shared" si="49"/>
        <v/>
      </c>
      <c r="F333" s="23" t="str">
        <f t="shared" si="50"/>
        <v/>
      </c>
      <c r="G333" s="24" t="str">
        <f t="shared" si="51"/>
        <v/>
      </c>
      <c r="H333" s="25" t="str">
        <f ca="1" t="shared" si="52"/>
        <v/>
      </c>
      <c r="I333" s="26"/>
    </row>
    <row r="334" ht="36" customHeight="1" spans="1:9">
      <c r="A334" s="19"/>
      <c r="B334" s="20" t="str">
        <f t="shared" si="47"/>
        <v/>
      </c>
      <c r="C334" s="21" t="str">
        <f t="shared" si="53"/>
        <v>[]</v>
      </c>
      <c r="D334" s="22" t="str">
        <f t="shared" si="48"/>
        <v/>
      </c>
      <c r="E334" s="22" t="str">
        <f t="shared" si="49"/>
        <v/>
      </c>
      <c r="F334" s="23" t="str">
        <f t="shared" si="50"/>
        <v/>
      </c>
      <c r="G334" s="24" t="str">
        <f t="shared" si="51"/>
        <v/>
      </c>
      <c r="H334" s="25" t="str">
        <f ca="1" t="shared" si="52"/>
        <v/>
      </c>
      <c r="I334" s="26"/>
    </row>
    <row r="335" ht="36" customHeight="1" spans="1:9">
      <c r="A335" s="19"/>
      <c r="B335" s="20" t="str">
        <f t="shared" si="47"/>
        <v/>
      </c>
      <c r="C335" s="21" t="str">
        <f t="shared" si="53"/>
        <v>[]</v>
      </c>
      <c r="D335" s="22" t="str">
        <f t="shared" si="48"/>
        <v/>
      </c>
      <c r="E335" s="22" t="str">
        <f t="shared" si="49"/>
        <v/>
      </c>
      <c r="F335" s="23" t="str">
        <f t="shared" si="50"/>
        <v/>
      </c>
      <c r="G335" s="24" t="str">
        <f t="shared" si="51"/>
        <v/>
      </c>
      <c r="H335" s="25" t="str">
        <f ca="1" t="shared" si="52"/>
        <v/>
      </c>
      <c r="I335" s="26"/>
    </row>
    <row r="336" ht="36" customHeight="1" spans="1:9">
      <c r="A336" s="19"/>
      <c r="B336" s="20" t="str">
        <f t="shared" si="47"/>
        <v/>
      </c>
      <c r="C336" s="21" t="str">
        <f t="shared" si="53"/>
        <v>[]</v>
      </c>
      <c r="D336" s="22" t="str">
        <f t="shared" si="48"/>
        <v/>
      </c>
      <c r="E336" s="22" t="str">
        <f t="shared" si="49"/>
        <v/>
      </c>
      <c r="F336" s="23" t="str">
        <f t="shared" si="50"/>
        <v/>
      </c>
      <c r="G336" s="24" t="str">
        <f t="shared" si="51"/>
        <v/>
      </c>
      <c r="H336" s="25" t="str">
        <f ca="1" t="shared" si="52"/>
        <v/>
      </c>
      <c r="I336" s="26"/>
    </row>
    <row r="337" ht="36" customHeight="1" spans="1:9">
      <c r="A337" s="19"/>
      <c r="B337" s="20" t="str">
        <f t="shared" si="47"/>
        <v/>
      </c>
      <c r="C337" s="21" t="str">
        <f t="shared" si="53"/>
        <v>[]</v>
      </c>
      <c r="D337" s="22" t="str">
        <f t="shared" si="48"/>
        <v/>
      </c>
      <c r="E337" s="22" t="str">
        <f t="shared" si="49"/>
        <v/>
      </c>
      <c r="F337" s="23" t="str">
        <f t="shared" si="50"/>
        <v/>
      </c>
      <c r="G337" s="24" t="str">
        <f t="shared" si="51"/>
        <v/>
      </c>
      <c r="H337" s="25" t="str">
        <f ca="1" t="shared" si="52"/>
        <v/>
      </c>
      <c r="I337" s="26"/>
    </row>
    <row r="338" ht="36" customHeight="1" spans="1:9">
      <c r="A338" s="19"/>
      <c r="B338" s="20" t="str">
        <f t="shared" si="47"/>
        <v/>
      </c>
      <c r="C338" s="21" t="str">
        <f t="shared" si="53"/>
        <v>[]</v>
      </c>
      <c r="D338" s="22" t="str">
        <f t="shared" si="48"/>
        <v/>
      </c>
      <c r="E338" s="22" t="str">
        <f t="shared" si="49"/>
        <v/>
      </c>
      <c r="F338" s="23" t="str">
        <f t="shared" si="50"/>
        <v/>
      </c>
      <c r="G338" s="24" t="str">
        <f t="shared" si="51"/>
        <v/>
      </c>
      <c r="H338" s="25" t="str">
        <f ca="1" t="shared" si="52"/>
        <v/>
      </c>
      <c r="I338" s="26"/>
    </row>
    <row r="339" ht="36" customHeight="1" spans="1:9">
      <c r="A339" s="19"/>
      <c r="B339" s="20" t="str">
        <f t="shared" si="47"/>
        <v/>
      </c>
      <c r="C339" s="21" t="str">
        <f t="shared" si="53"/>
        <v>[]</v>
      </c>
      <c r="D339" s="22" t="str">
        <f t="shared" si="48"/>
        <v/>
      </c>
      <c r="E339" s="22" t="str">
        <f t="shared" si="49"/>
        <v/>
      </c>
      <c r="F339" s="23" t="str">
        <f t="shared" si="50"/>
        <v/>
      </c>
      <c r="G339" s="24" t="str">
        <f t="shared" si="51"/>
        <v/>
      </c>
      <c r="H339" s="25" t="str">
        <f ca="1" t="shared" si="52"/>
        <v/>
      </c>
      <c r="I339" s="26"/>
    </row>
    <row r="340" ht="36" customHeight="1" spans="1:9">
      <c r="A340" s="19"/>
      <c r="B340" s="20" t="str">
        <f t="shared" si="47"/>
        <v/>
      </c>
      <c r="C340" s="21" t="str">
        <f t="shared" si="53"/>
        <v>[]</v>
      </c>
      <c r="D340" s="22" t="str">
        <f t="shared" si="48"/>
        <v/>
      </c>
      <c r="E340" s="22" t="str">
        <f t="shared" si="49"/>
        <v/>
      </c>
      <c r="F340" s="23" t="str">
        <f t="shared" si="50"/>
        <v/>
      </c>
      <c r="G340" s="24" t="str">
        <f t="shared" si="51"/>
        <v/>
      </c>
      <c r="H340" s="25" t="str">
        <f ca="1" t="shared" si="52"/>
        <v/>
      </c>
      <c r="I340" s="26"/>
    </row>
    <row r="341" ht="36" customHeight="1" spans="1:9">
      <c r="A341" s="19"/>
      <c r="B341" s="20" t="str">
        <f t="shared" si="47"/>
        <v/>
      </c>
      <c r="C341" s="21" t="str">
        <f t="shared" si="53"/>
        <v>[]</v>
      </c>
      <c r="D341" s="22" t="str">
        <f t="shared" si="48"/>
        <v/>
      </c>
      <c r="E341" s="22" t="str">
        <f t="shared" si="49"/>
        <v/>
      </c>
      <c r="F341" s="23" t="str">
        <f t="shared" si="50"/>
        <v/>
      </c>
      <c r="G341" s="24" t="str">
        <f t="shared" si="51"/>
        <v/>
      </c>
      <c r="H341" s="25" t="str">
        <f ca="1" t="shared" si="52"/>
        <v/>
      </c>
      <c r="I341" s="26"/>
    </row>
    <row r="342" ht="36" customHeight="1" spans="1:9">
      <c r="A342" s="19"/>
      <c r="B342" s="20" t="str">
        <f t="shared" si="47"/>
        <v/>
      </c>
      <c r="C342" s="21" t="str">
        <f t="shared" si="53"/>
        <v>[]</v>
      </c>
      <c r="D342" s="22" t="str">
        <f t="shared" si="48"/>
        <v/>
      </c>
      <c r="E342" s="22" t="str">
        <f t="shared" si="49"/>
        <v/>
      </c>
      <c r="F342" s="23" t="str">
        <f t="shared" si="50"/>
        <v/>
      </c>
      <c r="G342" s="24" t="str">
        <f t="shared" si="51"/>
        <v/>
      </c>
      <c r="H342" s="25" t="str">
        <f ca="1" t="shared" si="52"/>
        <v/>
      </c>
      <c r="I342" s="26"/>
    </row>
    <row r="343" ht="36" customHeight="1" spans="1:9">
      <c r="A343" s="19"/>
      <c r="B343" s="20" t="str">
        <f t="shared" si="47"/>
        <v/>
      </c>
      <c r="C343" s="21" t="str">
        <f t="shared" si="53"/>
        <v>[]</v>
      </c>
      <c r="D343" s="22" t="str">
        <f t="shared" si="48"/>
        <v/>
      </c>
      <c r="E343" s="22" t="str">
        <f t="shared" si="49"/>
        <v/>
      </c>
      <c r="F343" s="23" t="str">
        <f t="shared" si="50"/>
        <v/>
      </c>
      <c r="G343" s="24" t="str">
        <f t="shared" si="51"/>
        <v/>
      </c>
      <c r="H343" s="25" t="str">
        <f ca="1" t="shared" si="52"/>
        <v/>
      </c>
      <c r="I343" s="26"/>
    </row>
    <row r="344" ht="36" customHeight="1" spans="1:9">
      <c r="A344" s="19"/>
      <c r="B344" s="20" t="str">
        <f t="shared" si="47"/>
        <v/>
      </c>
      <c r="C344" s="21" t="str">
        <f t="shared" si="53"/>
        <v>[]</v>
      </c>
      <c r="D344" s="22" t="str">
        <f t="shared" si="48"/>
        <v/>
      </c>
      <c r="E344" s="22" t="str">
        <f t="shared" si="49"/>
        <v/>
      </c>
      <c r="F344" s="23" t="str">
        <f t="shared" si="50"/>
        <v/>
      </c>
      <c r="G344" s="24" t="str">
        <f t="shared" si="51"/>
        <v/>
      </c>
      <c r="H344" s="25" t="str">
        <f ca="1" t="shared" si="52"/>
        <v/>
      </c>
      <c r="I344" s="26"/>
    </row>
    <row r="345" ht="36" customHeight="1" spans="1:9">
      <c r="A345" s="19"/>
      <c r="B345" s="20" t="str">
        <f t="shared" si="47"/>
        <v/>
      </c>
      <c r="C345" s="21" t="str">
        <f t="shared" si="53"/>
        <v>[]</v>
      </c>
      <c r="D345" s="22" t="str">
        <f t="shared" si="48"/>
        <v/>
      </c>
      <c r="E345" s="22" t="str">
        <f t="shared" si="49"/>
        <v/>
      </c>
      <c r="F345" s="23" t="str">
        <f t="shared" si="50"/>
        <v/>
      </c>
      <c r="G345" s="24" t="str">
        <f t="shared" si="51"/>
        <v/>
      </c>
      <c r="H345" s="25" t="str">
        <f ca="1" t="shared" si="52"/>
        <v/>
      </c>
      <c r="I345" s="26"/>
    </row>
    <row r="346" ht="36" customHeight="1" spans="1:9">
      <c r="A346" s="19"/>
      <c r="B346" s="20" t="str">
        <f t="shared" si="47"/>
        <v/>
      </c>
      <c r="C346" s="21" t="str">
        <f t="shared" si="53"/>
        <v>[]</v>
      </c>
      <c r="D346" s="22" t="str">
        <f t="shared" si="48"/>
        <v/>
      </c>
      <c r="E346" s="22" t="str">
        <f t="shared" si="49"/>
        <v/>
      </c>
      <c r="F346" s="23" t="str">
        <f t="shared" si="50"/>
        <v/>
      </c>
      <c r="G346" s="24" t="str">
        <f t="shared" si="51"/>
        <v/>
      </c>
      <c r="H346" s="25" t="str">
        <f ca="1" t="shared" si="52"/>
        <v/>
      </c>
      <c r="I346" s="26"/>
    </row>
    <row r="347" ht="36" customHeight="1" spans="1:9">
      <c r="A347" s="19"/>
      <c r="B347" s="20" t="str">
        <f t="shared" si="47"/>
        <v/>
      </c>
      <c r="C347" s="21" t="str">
        <f t="shared" si="53"/>
        <v>[]</v>
      </c>
      <c r="D347" s="22" t="str">
        <f t="shared" si="48"/>
        <v/>
      </c>
      <c r="E347" s="22" t="str">
        <f t="shared" si="49"/>
        <v/>
      </c>
      <c r="F347" s="23" t="str">
        <f t="shared" si="50"/>
        <v/>
      </c>
      <c r="G347" s="24" t="str">
        <f t="shared" si="51"/>
        <v/>
      </c>
      <c r="H347" s="25" t="str">
        <f ca="1" t="shared" si="52"/>
        <v/>
      </c>
      <c r="I347" s="26"/>
    </row>
    <row r="348" ht="36" customHeight="1" spans="1:9">
      <c r="A348" s="19"/>
      <c r="B348" s="20" t="str">
        <f t="shared" si="47"/>
        <v/>
      </c>
      <c r="C348" s="21" t="str">
        <f t="shared" si="53"/>
        <v>[]</v>
      </c>
      <c r="D348" s="22" t="str">
        <f t="shared" si="48"/>
        <v/>
      </c>
      <c r="E348" s="22" t="str">
        <f t="shared" si="49"/>
        <v/>
      </c>
      <c r="F348" s="23" t="str">
        <f t="shared" si="50"/>
        <v/>
      </c>
      <c r="G348" s="24" t="str">
        <f t="shared" si="51"/>
        <v/>
      </c>
      <c r="H348" s="25" t="str">
        <f ca="1" t="shared" si="52"/>
        <v/>
      </c>
      <c r="I348" s="26"/>
    </row>
    <row r="349" ht="36" customHeight="1" spans="1:9">
      <c r="A349" s="19"/>
      <c r="B349" s="20" t="str">
        <f t="shared" si="47"/>
        <v/>
      </c>
      <c r="C349" s="21" t="str">
        <f t="shared" si="53"/>
        <v>[]</v>
      </c>
      <c r="D349" s="22" t="str">
        <f t="shared" si="48"/>
        <v/>
      </c>
      <c r="E349" s="22" t="str">
        <f t="shared" si="49"/>
        <v/>
      </c>
      <c r="F349" s="23" t="str">
        <f t="shared" si="50"/>
        <v/>
      </c>
      <c r="G349" s="24" t="str">
        <f t="shared" si="51"/>
        <v/>
      </c>
      <c r="H349" s="25" t="str">
        <f ca="1" t="shared" si="52"/>
        <v/>
      </c>
      <c r="I349" s="26"/>
    </row>
    <row r="350" ht="36" customHeight="1" spans="1:9">
      <c r="A350" s="19"/>
      <c r="B350" s="20" t="str">
        <f t="shared" si="47"/>
        <v/>
      </c>
      <c r="C350" s="21" t="str">
        <f t="shared" si="53"/>
        <v>[]</v>
      </c>
      <c r="D350" s="22" t="str">
        <f t="shared" si="48"/>
        <v/>
      </c>
      <c r="E350" s="22" t="str">
        <f t="shared" si="49"/>
        <v/>
      </c>
      <c r="F350" s="23" t="str">
        <f t="shared" si="50"/>
        <v/>
      </c>
      <c r="G350" s="24" t="str">
        <f t="shared" si="51"/>
        <v/>
      </c>
      <c r="H350" s="25" t="str">
        <f ca="1" t="shared" si="52"/>
        <v/>
      </c>
      <c r="I350" s="26"/>
    </row>
    <row r="351" ht="36" customHeight="1" spans="1:9">
      <c r="A351" s="19"/>
      <c r="B351" s="20" t="str">
        <f t="shared" si="47"/>
        <v/>
      </c>
      <c r="C351" s="21" t="str">
        <f t="shared" si="53"/>
        <v>[]</v>
      </c>
      <c r="D351" s="22" t="str">
        <f t="shared" si="48"/>
        <v/>
      </c>
      <c r="E351" s="22" t="str">
        <f t="shared" si="49"/>
        <v/>
      </c>
      <c r="F351" s="23" t="str">
        <f t="shared" si="50"/>
        <v/>
      </c>
      <c r="G351" s="24" t="str">
        <f t="shared" si="51"/>
        <v/>
      </c>
      <c r="H351" s="25" t="str">
        <f ca="1" t="shared" si="52"/>
        <v/>
      </c>
      <c r="I351" s="26"/>
    </row>
    <row r="352" ht="36" customHeight="1" spans="1:9">
      <c r="A352" s="19"/>
      <c r="B352" s="20" t="str">
        <f t="shared" si="47"/>
        <v/>
      </c>
      <c r="C352" s="21" t="str">
        <f t="shared" si="53"/>
        <v>[]</v>
      </c>
      <c r="D352" s="22" t="str">
        <f t="shared" si="48"/>
        <v/>
      </c>
      <c r="E352" s="22" t="str">
        <f t="shared" si="49"/>
        <v/>
      </c>
      <c r="F352" s="23" t="str">
        <f t="shared" si="50"/>
        <v/>
      </c>
      <c r="G352" s="24" t="str">
        <f t="shared" si="51"/>
        <v/>
      </c>
      <c r="H352" s="25" t="str">
        <f ca="1" t="shared" si="52"/>
        <v/>
      </c>
      <c r="I352" s="26"/>
    </row>
    <row r="353" ht="36" customHeight="1" spans="1:9">
      <c r="A353" s="19"/>
      <c r="B353" s="20" t="str">
        <f t="shared" si="47"/>
        <v/>
      </c>
      <c r="C353" s="21" t="str">
        <f t="shared" si="53"/>
        <v>[]</v>
      </c>
      <c r="D353" s="22" t="str">
        <f t="shared" si="48"/>
        <v/>
      </c>
      <c r="E353" s="22" t="str">
        <f t="shared" si="49"/>
        <v/>
      </c>
      <c r="F353" s="23" t="str">
        <f t="shared" si="50"/>
        <v/>
      </c>
      <c r="G353" s="24" t="str">
        <f t="shared" si="51"/>
        <v/>
      </c>
      <c r="H353" s="25" t="str">
        <f ca="1" t="shared" si="52"/>
        <v/>
      </c>
      <c r="I353" s="26"/>
    </row>
    <row r="354" ht="36" customHeight="1" spans="1:9">
      <c r="A354" s="19"/>
      <c r="B354" s="20" t="str">
        <f t="shared" si="47"/>
        <v/>
      </c>
      <c r="C354" s="21" t="str">
        <f t="shared" si="53"/>
        <v>[]</v>
      </c>
      <c r="D354" s="22" t="str">
        <f t="shared" si="48"/>
        <v/>
      </c>
      <c r="E354" s="22" t="str">
        <f t="shared" si="49"/>
        <v/>
      </c>
      <c r="F354" s="23" t="str">
        <f t="shared" si="50"/>
        <v/>
      </c>
      <c r="G354" s="24" t="str">
        <f t="shared" si="51"/>
        <v/>
      </c>
      <c r="H354" s="25" t="str">
        <f ca="1" t="shared" si="52"/>
        <v/>
      </c>
      <c r="I354" s="26"/>
    </row>
    <row r="355" ht="36" customHeight="1" spans="1:9">
      <c r="A355" s="19"/>
      <c r="B355" s="20" t="str">
        <f t="shared" si="47"/>
        <v/>
      </c>
      <c r="C355" s="21" t="str">
        <f t="shared" si="53"/>
        <v>[]</v>
      </c>
      <c r="D355" s="22" t="str">
        <f t="shared" si="48"/>
        <v/>
      </c>
      <c r="E355" s="22" t="str">
        <f t="shared" si="49"/>
        <v/>
      </c>
      <c r="F355" s="23" t="str">
        <f t="shared" si="50"/>
        <v/>
      </c>
      <c r="G355" s="24" t="str">
        <f t="shared" si="51"/>
        <v/>
      </c>
      <c r="H355" s="25" t="str">
        <f ca="1" t="shared" si="52"/>
        <v/>
      </c>
      <c r="I355" s="26"/>
    </row>
    <row r="356" ht="36" customHeight="1" spans="1:9">
      <c r="A356" s="19"/>
      <c r="B356" s="20" t="str">
        <f t="shared" si="47"/>
        <v/>
      </c>
      <c r="C356" s="21" t="str">
        <f t="shared" si="53"/>
        <v>[]</v>
      </c>
      <c r="D356" s="22" t="str">
        <f t="shared" si="48"/>
        <v/>
      </c>
      <c r="E356" s="22" t="str">
        <f t="shared" si="49"/>
        <v/>
      </c>
      <c r="F356" s="23" t="str">
        <f t="shared" si="50"/>
        <v/>
      </c>
      <c r="G356" s="24" t="str">
        <f t="shared" si="51"/>
        <v/>
      </c>
      <c r="H356" s="25" t="str">
        <f ca="1" t="shared" si="52"/>
        <v/>
      </c>
      <c r="I356" s="26"/>
    </row>
    <row r="357" ht="36" customHeight="1" spans="1:9">
      <c r="A357" s="19"/>
      <c r="B357" s="20" t="str">
        <f t="shared" si="47"/>
        <v/>
      </c>
      <c r="C357" s="21" t="str">
        <f t="shared" si="53"/>
        <v>[]</v>
      </c>
      <c r="D357" s="22" t="str">
        <f t="shared" si="48"/>
        <v/>
      </c>
      <c r="E357" s="22" t="str">
        <f t="shared" si="49"/>
        <v/>
      </c>
      <c r="F357" s="23" t="str">
        <f t="shared" si="50"/>
        <v/>
      </c>
      <c r="G357" s="24" t="str">
        <f t="shared" si="51"/>
        <v/>
      </c>
      <c r="H357" s="25" t="str">
        <f ca="1" t="shared" si="52"/>
        <v/>
      </c>
      <c r="I357" s="26"/>
    </row>
    <row r="358" ht="36" customHeight="1" spans="1:9">
      <c r="A358" s="19"/>
      <c r="B358" s="20" t="str">
        <f t="shared" si="47"/>
        <v/>
      </c>
      <c r="C358" s="21" t="str">
        <f t="shared" si="53"/>
        <v>[]</v>
      </c>
      <c r="D358" s="22" t="str">
        <f t="shared" si="48"/>
        <v/>
      </c>
      <c r="E358" s="22" t="str">
        <f t="shared" si="49"/>
        <v/>
      </c>
      <c r="F358" s="23" t="str">
        <f t="shared" si="50"/>
        <v/>
      </c>
      <c r="G358" s="24" t="str">
        <f t="shared" si="51"/>
        <v/>
      </c>
      <c r="H358" s="25" t="str">
        <f ca="1" t="shared" si="52"/>
        <v/>
      </c>
      <c r="I358" s="26"/>
    </row>
    <row r="359" ht="36" customHeight="1" spans="1:9">
      <c r="A359" s="19"/>
      <c r="B359" s="20" t="str">
        <f t="shared" si="47"/>
        <v/>
      </c>
      <c r="C359" s="21" t="str">
        <f t="shared" si="53"/>
        <v>[]</v>
      </c>
      <c r="D359" s="22" t="str">
        <f t="shared" si="48"/>
        <v/>
      </c>
      <c r="E359" s="22" t="str">
        <f t="shared" si="49"/>
        <v/>
      </c>
      <c r="F359" s="23" t="str">
        <f t="shared" si="50"/>
        <v/>
      </c>
      <c r="G359" s="24" t="str">
        <f t="shared" si="51"/>
        <v/>
      </c>
      <c r="H359" s="25" t="str">
        <f ca="1" t="shared" si="52"/>
        <v/>
      </c>
      <c r="I359" s="26"/>
    </row>
    <row r="360" ht="36" customHeight="1" spans="1:9">
      <c r="A360" s="19"/>
      <c r="B360" s="20" t="str">
        <f t="shared" si="47"/>
        <v/>
      </c>
      <c r="C360" s="21" t="str">
        <f t="shared" si="53"/>
        <v>[]</v>
      </c>
      <c r="D360" s="22" t="str">
        <f t="shared" si="48"/>
        <v/>
      </c>
      <c r="E360" s="22" t="str">
        <f t="shared" si="49"/>
        <v/>
      </c>
      <c r="F360" s="23" t="str">
        <f t="shared" si="50"/>
        <v/>
      </c>
      <c r="G360" s="24" t="str">
        <f t="shared" si="51"/>
        <v/>
      </c>
      <c r="H360" s="25" t="str">
        <f ca="1" t="shared" si="52"/>
        <v/>
      </c>
      <c r="I360" s="26"/>
    </row>
    <row r="361" ht="36" customHeight="1" spans="1:9">
      <c r="A361" s="19"/>
      <c r="B361" s="20" t="str">
        <f t="shared" si="47"/>
        <v/>
      </c>
      <c r="C361" s="21" t="str">
        <f t="shared" si="53"/>
        <v>[]</v>
      </c>
      <c r="D361" s="22" t="str">
        <f t="shared" si="48"/>
        <v/>
      </c>
      <c r="E361" s="22" t="str">
        <f t="shared" si="49"/>
        <v/>
      </c>
      <c r="F361" s="23" t="str">
        <f t="shared" si="50"/>
        <v/>
      </c>
      <c r="G361" s="24" t="str">
        <f t="shared" si="51"/>
        <v/>
      </c>
      <c r="H361" s="25" t="str">
        <f ca="1" t="shared" si="52"/>
        <v/>
      </c>
      <c r="I361" s="26"/>
    </row>
    <row r="362" ht="36" customHeight="1" spans="1:9">
      <c r="A362" s="19"/>
      <c r="B362" s="20" t="str">
        <f t="shared" si="47"/>
        <v/>
      </c>
      <c r="C362" s="21" t="str">
        <f t="shared" si="53"/>
        <v>[]</v>
      </c>
      <c r="D362" s="22" t="str">
        <f t="shared" si="48"/>
        <v/>
      </c>
      <c r="E362" s="22" t="str">
        <f t="shared" si="49"/>
        <v/>
      </c>
      <c r="F362" s="23" t="str">
        <f t="shared" si="50"/>
        <v/>
      </c>
      <c r="G362" s="24" t="str">
        <f t="shared" si="51"/>
        <v/>
      </c>
      <c r="H362" s="25" t="str">
        <f ca="1" t="shared" si="52"/>
        <v/>
      </c>
      <c r="I362" s="26"/>
    </row>
    <row r="363" ht="36" customHeight="1" spans="1:9">
      <c r="A363" s="19"/>
      <c r="B363" s="20" t="str">
        <f t="shared" si="47"/>
        <v/>
      </c>
      <c r="C363" s="21" t="str">
        <f t="shared" si="53"/>
        <v>[]</v>
      </c>
      <c r="D363" s="22" t="str">
        <f t="shared" si="48"/>
        <v/>
      </c>
      <c r="E363" s="22" t="str">
        <f t="shared" si="49"/>
        <v/>
      </c>
      <c r="F363" s="23" t="str">
        <f t="shared" si="50"/>
        <v/>
      </c>
      <c r="G363" s="24" t="str">
        <f t="shared" si="51"/>
        <v/>
      </c>
      <c r="H363" s="25" t="str">
        <f ca="1" t="shared" si="52"/>
        <v/>
      </c>
      <c r="I363" s="26"/>
    </row>
    <row r="364" ht="36" customHeight="1" spans="1:9">
      <c r="A364" s="19"/>
      <c r="B364" s="20" t="str">
        <f t="shared" si="47"/>
        <v/>
      </c>
      <c r="C364" s="21" t="str">
        <f t="shared" si="53"/>
        <v>[]</v>
      </c>
      <c r="D364" s="22" t="str">
        <f t="shared" si="48"/>
        <v/>
      </c>
      <c r="E364" s="22" t="str">
        <f t="shared" si="49"/>
        <v/>
      </c>
      <c r="F364" s="23" t="str">
        <f t="shared" si="50"/>
        <v/>
      </c>
      <c r="G364" s="24" t="str">
        <f t="shared" si="51"/>
        <v/>
      </c>
      <c r="H364" s="25" t="str">
        <f ca="1" t="shared" si="52"/>
        <v/>
      </c>
      <c r="I364" s="26"/>
    </row>
    <row r="365" ht="36" customHeight="1" spans="1:9">
      <c r="A365" s="19"/>
      <c r="B365" s="20" t="str">
        <f t="shared" si="47"/>
        <v/>
      </c>
      <c r="C365" s="21" t="str">
        <f t="shared" si="53"/>
        <v>[]</v>
      </c>
      <c r="D365" s="22" t="str">
        <f t="shared" si="48"/>
        <v/>
      </c>
      <c r="E365" s="22" t="str">
        <f t="shared" si="49"/>
        <v/>
      </c>
      <c r="F365" s="23" t="str">
        <f t="shared" si="50"/>
        <v/>
      </c>
      <c r="G365" s="24" t="str">
        <f t="shared" si="51"/>
        <v/>
      </c>
      <c r="H365" s="25" t="str">
        <f ca="1" t="shared" si="52"/>
        <v/>
      </c>
      <c r="I365" s="26"/>
    </row>
    <row r="366" ht="36" customHeight="1" spans="1:9">
      <c r="A366" s="19"/>
      <c r="B366" s="20" t="str">
        <f t="shared" si="47"/>
        <v/>
      </c>
      <c r="C366" s="21" t="str">
        <f t="shared" si="53"/>
        <v>[]</v>
      </c>
      <c r="D366" s="22" t="str">
        <f t="shared" si="48"/>
        <v/>
      </c>
      <c r="E366" s="22" t="str">
        <f t="shared" si="49"/>
        <v/>
      </c>
      <c r="F366" s="23" t="str">
        <f t="shared" si="50"/>
        <v/>
      </c>
      <c r="G366" s="24" t="str">
        <f t="shared" si="51"/>
        <v/>
      </c>
      <c r="H366" s="25" t="str">
        <f ca="1" t="shared" si="52"/>
        <v/>
      </c>
      <c r="I366" s="26"/>
    </row>
    <row r="367" ht="36" customHeight="1" spans="1:9">
      <c r="A367" s="19"/>
      <c r="B367" s="20" t="str">
        <f t="shared" si="47"/>
        <v/>
      </c>
      <c r="C367" s="21" t="str">
        <f t="shared" si="53"/>
        <v>[]</v>
      </c>
      <c r="D367" s="22" t="str">
        <f t="shared" si="48"/>
        <v/>
      </c>
      <c r="E367" s="22" t="str">
        <f t="shared" si="49"/>
        <v/>
      </c>
      <c r="F367" s="23" t="str">
        <f t="shared" si="50"/>
        <v/>
      </c>
      <c r="G367" s="24" t="str">
        <f t="shared" si="51"/>
        <v/>
      </c>
      <c r="H367" s="25" t="str">
        <f ca="1" t="shared" si="52"/>
        <v/>
      </c>
      <c r="I367" s="26"/>
    </row>
    <row r="368" ht="36" customHeight="1" spans="1:9">
      <c r="A368" s="19"/>
      <c r="B368" s="20" t="str">
        <f t="shared" si="47"/>
        <v/>
      </c>
      <c r="C368" s="21" t="str">
        <f t="shared" si="53"/>
        <v>[]</v>
      </c>
      <c r="D368" s="22" t="str">
        <f t="shared" si="48"/>
        <v/>
      </c>
      <c r="E368" s="22" t="str">
        <f t="shared" si="49"/>
        <v/>
      </c>
      <c r="F368" s="23" t="str">
        <f t="shared" si="50"/>
        <v/>
      </c>
      <c r="G368" s="24" t="str">
        <f t="shared" si="51"/>
        <v/>
      </c>
      <c r="H368" s="25" t="str">
        <f ca="1" t="shared" si="52"/>
        <v/>
      </c>
      <c r="I368" s="26"/>
    </row>
    <row r="369" ht="36" customHeight="1" spans="1:9">
      <c r="A369" s="19"/>
      <c r="B369" s="20" t="str">
        <f t="shared" si="47"/>
        <v/>
      </c>
      <c r="C369" s="21" t="str">
        <f t="shared" si="53"/>
        <v>[]</v>
      </c>
      <c r="D369" s="22" t="str">
        <f t="shared" si="48"/>
        <v/>
      </c>
      <c r="E369" s="22" t="str">
        <f t="shared" si="49"/>
        <v/>
      </c>
      <c r="F369" s="23" t="str">
        <f t="shared" si="50"/>
        <v/>
      </c>
      <c r="G369" s="24" t="str">
        <f t="shared" si="51"/>
        <v/>
      </c>
      <c r="H369" s="25" t="str">
        <f ca="1" t="shared" si="52"/>
        <v/>
      </c>
      <c r="I369" s="26"/>
    </row>
    <row r="370" ht="36" customHeight="1" spans="1:9">
      <c r="A370" s="19"/>
      <c r="B370" s="20" t="str">
        <f t="shared" si="47"/>
        <v/>
      </c>
      <c r="C370" s="21" t="str">
        <f t="shared" si="53"/>
        <v>[]</v>
      </c>
      <c r="D370" s="22" t="str">
        <f t="shared" si="48"/>
        <v/>
      </c>
      <c r="E370" s="22" t="str">
        <f t="shared" si="49"/>
        <v/>
      </c>
      <c r="F370" s="23" t="str">
        <f t="shared" si="50"/>
        <v/>
      </c>
      <c r="G370" s="24" t="str">
        <f t="shared" si="51"/>
        <v/>
      </c>
      <c r="H370" s="25" t="str">
        <f ca="1" t="shared" si="52"/>
        <v/>
      </c>
      <c r="I370" s="26"/>
    </row>
    <row r="371" ht="36" customHeight="1" spans="1:9">
      <c r="A371" s="19"/>
      <c r="B371" s="20" t="str">
        <f t="shared" si="47"/>
        <v/>
      </c>
      <c r="C371" s="21" t="str">
        <f t="shared" si="53"/>
        <v>[]</v>
      </c>
      <c r="D371" s="22" t="str">
        <f t="shared" si="48"/>
        <v/>
      </c>
      <c r="E371" s="22" t="str">
        <f t="shared" si="49"/>
        <v/>
      </c>
      <c r="F371" s="23" t="str">
        <f t="shared" si="50"/>
        <v/>
      </c>
      <c r="G371" s="24" t="str">
        <f t="shared" si="51"/>
        <v/>
      </c>
      <c r="H371" s="25" t="str">
        <f ca="1" t="shared" si="52"/>
        <v/>
      </c>
      <c r="I371" s="26"/>
    </row>
    <row r="372" ht="36" customHeight="1" spans="1:9">
      <c r="A372" s="19"/>
      <c r="B372" s="20" t="str">
        <f t="shared" si="47"/>
        <v/>
      </c>
      <c r="C372" s="21" t="str">
        <f t="shared" si="53"/>
        <v>[]</v>
      </c>
      <c r="D372" s="22" t="str">
        <f t="shared" si="48"/>
        <v/>
      </c>
      <c r="E372" s="22" t="str">
        <f t="shared" si="49"/>
        <v/>
      </c>
      <c r="F372" s="23" t="str">
        <f t="shared" si="50"/>
        <v/>
      </c>
      <c r="G372" s="24" t="str">
        <f t="shared" si="51"/>
        <v/>
      </c>
      <c r="H372" s="25" t="str">
        <f ca="1" t="shared" si="52"/>
        <v/>
      </c>
      <c r="I372" s="26"/>
    </row>
    <row r="373" ht="36" customHeight="1" spans="1:9">
      <c r="A373" s="19"/>
      <c r="B373" s="20" t="str">
        <f t="shared" si="47"/>
        <v/>
      </c>
      <c r="C373" s="21" t="str">
        <f t="shared" si="53"/>
        <v>[]</v>
      </c>
      <c r="D373" s="22" t="str">
        <f t="shared" si="48"/>
        <v/>
      </c>
      <c r="E373" s="22" t="str">
        <f t="shared" si="49"/>
        <v/>
      </c>
      <c r="F373" s="23" t="str">
        <f t="shared" si="50"/>
        <v/>
      </c>
      <c r="G373" s="24" t="str">
        <f t="shared" si="51"/>
        <v/>
      </c>
      <c r="H373" s="25" t="str">
        <f ca="1" t="shared" si="52"/>
        <v/>
      </c>
      <c r="I373" s="26"/>
    </row>
    <row r="374" ht="36" customHeight="1" spans="1:9">
      <c r="A374" s="19"/>
      <c r="B374" s="20" t="str">
        <f t="shared" si="47"/>
        <v/>
      </c>
      <c r="C374" s="21" t="str">
        <f t="shared" si="53"/>
        <v>[]</v>
      </c>
      <c r="D374" s="22" t="str">
        <f t="shared" si="48"/>
        <v/>
      </c>
      <c r="E374" s="22" t="str">
        <f t="shared" si="49"/>
        <v/>
      </c>
      <c r="F374" s="23" t="str">
        <f t="shared" si="50"/>
        <v/>
      </c>
      <c r="G374" s="24" t="str">
        <f t="shared" si="51"/>
        <v/>
      </c>
      <c r="H374" s="25" t="str">
        <f ca="1" t="shared" si="52"/>
        <v/>
      </c>
      <c r="I374" s="26"/>
    </row>
    <row r="375" ht="36" customHeight="1" spans="1:9">
      <c r="A375" s="19"/>
      <c r="B375" s="20" t="str">
        <f t="shared" si="47"/>
        <v/>
      </c>
      <c r="C375" s="21" t="str">
        <f t="shared" si="53"/>
        <v>[]</v>
      </c>
      <c r="D375" s="22" t="str">
        <f t="shared" si="48"/>
        <v/>
      </c>
      <c r="E375" s="22" t="str">
        <f t="shared" si="49"/>
        <v/>
      </c>
      <c r="F375" s="23" t="str">
        <f t="shared" si="50"/>
        <v/>
      </c>
      <c r="G375" s="24" t="str">
        <f t="shared" si="51"/>
        <v/>
      </c>
      <c r="H375" s="25" t="str">
        <f ca="1" t="shared" si="52"/>
        <v/>
      </c>
      <c r="I375" s="26"/>
    </row>
    <row r="376" ht="36" customHeight="1" spans="1:9">
      <c r="A376" s="19"/>
      <c r="B376" s="20" t="str">
        <f t="shared" ref="B376:B439" si="54">IFERROR("@"&amp;MID(A376,SEARCH("{",A376)+1,SEARCH(",",A376)-SEARCH("{",A376)-1),"")</f>
        <v/>
      </c>
      <c r="C376" s="21" t="str">
        <f t="shared" si="53"/>
        <v>[]</v>
      </c>
      <c r="D376" s="22" t="str">
        <f t="shared" ref="D376:D439" si="55">IFERROR(MID(A376,SEARCH("year = {",A376)+8,4),"")</f>
        <v/>
      </c>
      <c r="E376" s="22" t="str">
        <f t="shared" ref="E376:E439" si="56">IFERROR(MID(A376,SEARCH("author = {",A376)+10,SEARCH("}",A376,SEARCH("author = {",A376))-SEARCH("author = {",A376)-10),"")</f>
        <v/>
      </c>
      <c r="F376" s="23" t="str">
        <f t="shared" ref="F376:F439" si="57">IFERROR(IF(ISERROR(FIND("title =",A376)),"",MID(A376,FIND("title =",A376)+9,FIND("},",A376,FIND("title =",A376))-FIND("title =",A376)-9)),"")</f>
        <v/>
      </c>
      <c r="G376" s="24" t="str">
        <f t="shared" ref="G376:G439" si="58">IFERROR("https://doi.org/"&amp;MID(A376,SEARCH("doi = {",A376)+7,FIND("}",A376,SEARCH("doi = {",A376))-SEARCH("doi = {",A376)-7),"")</f>
        <v/>
      </c>
      <c r="H376" s="25" t="str">
        <f ca="1" t="shared" ref="H376:H439" si="59">IF(A376&lt;&gt;"",IF(H376&lt;&gt;"",H376,NOW()),"")</f>
        <v/>
      </c>
      <c r="I376" s="26"/>
    </row>
    <row r="377" ht="36" customHeight="1" spans="1:9">
      <c r="A377" s="19"/>
      <c r="B377" s="20" t="str">
        <f t="shared" si="54"/>
        <v/>
      </c>
      <c r="C377" s="21" t="str">
        <f t="shared" ref="C377:C440" si="60">"["&amp;B377&amp;"]"</f>
        <v>[]</v>
      </c>
      <c r="D377" s="22" t="str">
        <f t="shared" si="55"/>
        <v/>
      </c>
      <c r="E377" s="22" t="str">
        <f t="shared" si="56"/>
        <v/>
      </c>
      <c r="F377" s="23" t="str">
        <f t="shared" si="57"/>
        <v/>
      </c>
      <c r="G377" s="24" t="str">
        <f t="shared" si="58"/>
        <v/>
      </c>
      <c r="H377" s="25" t="str">
        <f ca="1" t="shared" si="59"/>
        <v/>
      </c>
      <c r="I377" s="26"/>
    </row>
    <row r="378" ht="36" customHeight="1" spans="1:9">
      <c r="A378" s="19"/>
      <c r="B378" s="20" t="str">
        <f t="shared" si="54"/>
        <v/>
      </c>
      <c r="C378" s="21" t="str">
        <f t="shared" si="60"/>
        <v>[]</v>
      </c>
      <c r="D378" s="22" t="str">
        <f t="shared" si="55"/>
        <v/>
      </c>
      <c r="E378" s="22" t="str">
        <f t="shared" si="56"/>
        <v/>
      </c>
      <c r="F378" s="23" t="str">
        <f t="shared" si="57"/>
        <v/>
      </c>
      <c r="G378" s="24" t="str">
        <f t="shared" si="58"/>
        <v/>
      </c>
      <c r="H378" s="25" t="str">
        <f ca="1" t="shared" si="59"/>
        <v/>
      </c>
      <c r="I378" s="26"/>
    </row>
    <row r="379" ht="36" customHeight="1" spans="1:9">
      <c r="A379" s="19"/>
      <c r="B379" s="20" t="str">
        <f t="shared" si="54"/>
        <v/>
      </c>
      <c r="C379" s="21" t="str">
        <f t="shared" si="60"/>
        <v>[]</v>
      </c>
      <c r="D379" s="22" t="str">
        <f t="shared" si="55"/>
        <v/>
      </c>
      <c r="E379" s="22" t="str">
        <f t="shared" si="56"/>
        <v/>
      </c>
      <c r="F379" s="23" t="str">
        <f t="shared" si="57"/>
        <v/>
      </c>
      <c r="G379" s="24" t="str">
        <f t="shared" si="58"/>
        <v/>
      </c>
      <c r="H379" s="25" t="str">
        <f ca="1" t="shared" si="59"/>
        <v/>
      </c>
      <c r="I379" s="26"/>
    </row>
    <row r="380" ht="36" customHeight="1" spans="1:9">
      <c r="A380" s="19"/>
      <c r="B380" s="20" t="str">
        <f t="shared" si="54"/>
        <v/>
      </c>
      <c r="C380" s="21" t="str">
        <f t="shared" si="60"/>
        <v>[]</v>
      </c>
      <c r="D380" s="22" t="str">
        <f t="shared" si="55"/>
        <v/>
      </c>
      <c r="E380" s="22" t="str">
        <f t="shared" si="56"/>
        <v/>
      </c>
      <c r="F380" s="23" t="str">
        <f t="shared" si="57"/>
        <v/>
      </c>
      <c r="G380" s="24" t="str">
        <f t="shared" si="58"/>
        <v/>
      </c>
      <c r="H380" s="25" t="str">
        <f ca="1" t="shared" si="59"/>
        <v/>
      </c>
      <c r="I380" s="26"/>
    </row>
    <row r="381" ht="36" customHeight="1" spans="1:9">
      <c r="A381" s="19"/>
      <c r="B381" s="20" t="str">
        <f t="shared" si="54"/>
        <v/>
      </c>
      <c r="C381" s="21" t="str">
        <f t="shared" si="60"/>
        <v>[]</v>
      </c>
      <c r="D381" s="22" t="str">
        <f t="shared" si="55"/>
        <v/>
      </c>
      <c r="E381" s="22" t="str">
        <f t="shared" si="56"/>
        <v/>
      </c>
      <c r="F381" s="23" t="str">
        <f t="shared" si="57"/>
        <v/>
      </c>
      <c r="G381" s="24" t="str">
        <f t="shared" si="58"/>
        <v/>
      </c>
      <c r="H381" s="25" t="str">
        <f ca="1" t="shared" si="59"/>
        <v/>
      </c>
      <c r="I381" s="26"/>
    </row>
    <row r="382" ht="36" customHeight="1" spans="1:9">
      <c r="A382" s="19"/>
      <c r="B382" s="20" t="str">
        <f t="shared" si="54"/>
        <v/>
      </c>
      <c r="C382" s="21" t="str">
        <f t="shared" si="60"/>
        <v>[]</v>
      </c>
      <c r="D382" s="22" t="str">
        <f t="shared" si="55"/>
        <v/>
      </c>
      <c r="E382" s="22" t="str">
        <f t="shared" si="56"/>
        <v/>
      </c>
      <c r="F382" s="23" t="str">
        <f t="shared" si="57"/>
        <v/>
      </c>
      <c r="G382" s="24" t="str">
        <f t="shared" si="58"/>
        <v/>
      </c>
      <c r="H382" s="25" t="str">
        <f ca="1" t="shared" si="59"/>
        <v/>
      </c>
      <c r="I382" s="26"/>
    </row>
    <row r="383" ht="36" customHeight="1" spans="1:9">
      <c r="A383" s="19"/>
      <c r="B383" s="20" t="str">
        <f t="shared" si="54"/>
        <v/>
      </c>
      <c r="C383" s="21" t="str">
        <f t="shared" si="60"/>
        <v>[]</v>
      </c>
      <c r="D383" s="22" t="str">
        <f t="shared" si="55"/>
        <v/>
      </c>
      <c r="E383" s="22" t="str">
        <f t="shared" si="56"/>
        <v/>
      </c>
      <c r="F383" s="23" t="str">
        <f t="shared" si="57"/>
        <v/>
      </c>
      <c r="G383" s="24" t="str">
        <f t="shared" si="58"/>
        <v/>
      </c>
      <c r="H383" s="25" t="str">
        <f ca="1" t="shared" si="59"/>
        <v/>
      </c>
      <c r="I383" s="26"/>
    </row>
    <row r="384" ht="36" customHeight="1" spans="1:9">
      <c r="A384" s="19"/>
      <c r="B384" s="20" t="str">
        <f t="shared" si="54"/>
        <v/>
      </c>
      <c r="C384" s="21" t="str">
        <f t="shared" si="60"/>
        <v>[]</v>
      </c>
      <c r="D384" s="22" t="str">
        <f t="shared" si="55"/>
        <v/>
      </c>
      <c r="E384" s="22" t="str">
        <f t="shared" si="56"/>
        <v/>
      </c>
      <c r="F384" s="23" t="str">
        <f t="shared" si="57"/>
        <v/>
      </c>
      <c r="G384" s="24" t="str">
        <f t="shared" si="58"/>
        <v/>
      </c>
      <c r="H384" s="25" t="str">
        <f ca="1" t="shared" si="59"/>
        <v/>
      </c>
      <c r="I384" s="26"/>
    </row>
    <row r="385" ht="36" customHeight="1" spans="1:9">
      <c r="A385" s="19"/>
      <c r="B385" s="20" t="str">
        <f t="shared" si="54"/>
        <v/>
      </c>
      <c r="C385" s="21" t="str">
        <f t="shared" si="60"/>
        <v>[]</v>
      </c>
      <c r="D385" s="22" t="str">
        <f t="shared" si="55"/>
        <v/>
      </c>
      <c r="E385" s="22" t="str">
        <f t="shared" si="56"/>
        <v/>
      </c>
      <c r="F385" s="23" t="str">
        <f t="shared" si="57"/>
        <v/>
      </c>
      <c r="G385" s="24" t="str">
        <f t="shared" si="58"/>
        <v/>
      </c>
      <c r="H385" s="25" t="str">
        <f ca="1" t="shared" si="59"/>
        <v/>
      </c>
      <c r="I385" s="26"/>
    </row>
    <row r="386" ht="36" customHeight="1" spans="1:9">
      <c r="A386" s="19"/>
      <c r="B386" s="20" t="str">
        <f t="shared" si="54"/>
        <v/>
      </c>
      <c r="C386" s="21" t="str">
        <f t="shared" si="60"/>
        <v>[]</v>
      </c>
      <c r="D386" s="22" t="str">
        <f t="shared" si="55"/>
        <v/>
      </c>
      <c r="E386" s="22" t="str">
        <f t="shared" si="56"/>
        <v/>
      </c>
      <c r="F386" s="23" t="str">
        <f t="shared" si="57"/>
        <v/>
      </c>
      <c r="G386" s="24" t="str">
        <f t="shared" si="58"/>
        <v/>
      </c>
      <c r="H386" s="25" t="str">
        <f ca="1" t="shared" si="59"/>
        <v/>
      </c>
      <c r="I386" s="26"/>
    </row>
    <row r="387" ht="36" customHeight="1" spans="1:9">
      <c r="A387" s="19"/>
      <c r="B387" s="20" t="str">
        <f t="shared" si="54"/>
        <v/>
      </c>
      <c r="C387" s="21" t="str">
        <f t="shared" si="60"/>
        <v>[]</v>
      </c>
      <c r="D387" s="22" t="str">
        <f t="shared" si="55"/>
        <v/>
      </c>
      <c r="E387" s="22" t="str">
        <f t="shared" si="56"/>
        <v/>
      </c>
      <c r="F387" s="23" t="str">
        <f t="shared" si="57"/>
        <v/>
      </c>
      <c r="G387" s="24" t="str">
        <f t="shared" si="58"/>
        <v/>
      </c>
      <c r="H387" s="25" t="str">
        <f ca="1" t="shared" si="59"/>
        <v/>
      </c>
      <c r="I387" s="26"/>
    </row>
    <row r="388" ht="36" customHeight="1" spans="1:9">
      <c r="A388" s="19"/>
      <c r="B388" s="20" t="str">
        <f t="shared" si="54"/>
        <v/>
      </c>
      <c r="C388" s="21" t="str">
        <f t="shared" si="60"/>
        <v>[]</v>
      </c>
      <c r="D388" s="22" t="str">
        <f t="shared" si="55"/>
        <v/>
      </c>
      <c r="E388" s="22" t="str">
        <f t="shared" si="56"/>
        <v/>
      </c>
      <c r="F388" s="23" t="str">
        <f t="shared" si="57"/>
        <v/>
      </c>
      <c r="G388" s="24" t="str">
        <f t="shared" si="58"/>
        <v/>
      </c>
      <c r="H388" s="25" t="str">
        <f ca="1" t="shared" si="59"/>
        <v/>
      </c>
      <c r="I388" s="26"/>
    </row>
    <row r="389" ht="36" customHeight="1" spans="1:9">
      <c r="A389" s="19"/>
      <c r="B389" s="20" t="str">
        <f t="shared" si="54"/>
        <v/>
      </c>
      <c r="C389" s="21" t="str">
        <f t="shared" si="60"/>
        <v>[]</v>
      </c>
      <c r="D389" s="22" t="str">
        <f t="shared" si="55"/>
        <v/>
      </c>
      <c r="E389" s="22" t="str">
        <f t="shared" si="56"/>
        <v/>
      </c>
      <c r="F389" s="23" t="str">
        <f t="shared" si="57"/>
        <v/>
      </c>
      <c r="G389" s="24" t="str">
        <f t="shared" si="58"/>
        <v/>
      </c>
      <c r="H389" s="25" t="str">
        <f ca="1" t="shared" si="59"/>
        <v/>
      </c>
      <c r="I389" s="26"/>
    </row>
    <row r="390" ht="36" customHeight="1" spans="1:9">
      <c r="A390" s="19"/>
      <c r="B390" s="20" t="str">
        <f t="shared" si="54"/>
        <v/>
      </c>
      <c r="C390" s="21" t="str">
        <f t="shared" si="60"/>
        <v>[]</v>
      </c>
      <c r="D390" s="22" t="str">
        <f t="shared" si="55"/>
        <v/>
      </c>
      <c r="E390" s="22" t="str">
        <f t="shared" si="56"/>
        <v/>
      </c>
      <c r="F390" s="23" t="str">
        <f t="shared" si="57"/>
        <v/>
      </c>
      <c r="G390" s="24" t="str">
        <f t="shared" si="58"/>
        <v/>
      </c>
      <c r="H390" s="25" t="str">
        <f ca="1" t="shared" si="59"/>
        <v/>
      </c>
      <c r="I390" s="26"/>
    </row>
    <row r="391" ht="36" customHeight="1" spans="1:9">
      <c r="A391" s="19"/>
      <c r="B391" s="20" t="str">
        <f t="shared" si="54"/>
        <v/>
      </c>
      <c r="C391" s="21" t="str">
        <f t="shared" si="60"/>
        <v>[]</v>
      </c>
      <c r="D391" s="22" t="str">
        <f t="shared" si="55"/>
        <v/>
      </c>
      <c r="E391" s="22" t="str">
        <f t="shared" si="56"/>
        <v/>
      </c>
      <c r="F391" s="23" t="str">
        <f t="shared" si="57"/>
        <v/>
      </c>
      <c r="G391" s="24" t="str">
        <f t="shared" si="58"/>
        <v/>
      </c>
      <c r="H391" s="25" t="str">
        <f ca="1" t="shared" si="59"/>
        <v/>
      </c>
      <c r="I391" s="26"/>
    </row>
    <row r="392" ht="36" customHeight="1" spans="1:9">
      <c r="A392" s="19"/>
      <c r="B392" s="20" t="str">
        <f t="shared" si="54"/>
        <v/>
      </c>
      <c r="C392" s="21" t="str">
        <f t="shared" si="60"/>
        <v>[]</v>
      </c>
      <c r="D392" s="22" t="str">
        <f t="shared" si="55"/>
        <v/>
      </c>
      <c r="E392" s="22" t="str">
        <f t="shared" si="56"/>
        <v/>
      </c>
      <c r="F392" s="23" t="str">
        <f t="shared" si="57"/>
        <v/>
      </c>
      <c r="G392" s="24" t="str">
        <f t="shared" si="58"/>
        <v/>
      </c>
      <c r="H392" s="25" t="str">
        <f ca="1" t="shared" si="59"/>
        <v/>
      </c>
      <c r="I392" s="26"/>
    </row>
    <row r="393" ht="36" customHeight="1" spans="1:9">
      <c r="A393" s="19"/>
      <c r="B393" s="20" t="str">
        <f t="shared" si="54"/>
        <v/>
      </c>
      <c r="C393" s="21" t="str">
        <f t="shared" si="60"/>
        <v>[]</v>
      </c>
      <c r="D393" s="22" t="str">
        <f t="shared" si="55"/>
        <v/>
      </c>
      <c r="E393" s="22" t="str">
        <f t="shared" si="56"/>
        <v/>
      </c>
      <c r="F393" s="23" t="str">
        <f t="shared" si="57"/>
        <v/>
      </c>
      <c r="G393" s="24" t="str">
        <f t="shared" si="58"/>
        <v/>
      </c>
      <c r="H393" s="25" t="str">
        <f ca="1" t="shared" si="59"/>
        <v/>
      </c>
      <c r="I393" s="26"/>
    </row>
    <row r="394" ht="36" customHeight="1" spans="1:9">
      <c r="A394" s="19"/>
      <c r="B394" s="20" t="str">
        <f t="shared" si="54"/>
        <v/>
      </c>
      <c r="C394" s="21" t="str">
        <f t="shared" si="60"/>
        <v>[]</v>
      </c>
      <c r="D394" s="22" t="str">
        <f t="shared" si="55"/>
        <v/>
      </c>
      <c r="E394" s="22" t="str">
        <f t="shared" si="56"/>
        <v/>
      </c>
      <c r="F394" s="23" t="str">
        <f t="shared" si="57"/>
        <v/>
      </c>
      <c r="G394" s="24" t="str">
        <f t="shared" si="58"/>
        <v/>
      </c>
      <c r="H394" s="25" t="str">
        <f ca="1" t="shared" si="59"/>
        <v/>
      </c>
      <c r="I394" s="26"/>
    </row>
    <row r="395" ht="36" customHeight="1" spans="1:9">
      <c r="A395" s="19"/>
      <c r="B395" s="20" t="str">
        <f t="shared" si="54"/>
        <v/>
      </c>
      <c r="C395" s="21" t="str">
        <f t="shared" si="60"/>
        <v>[]</v>
      </c>
      <c r="D395" s="22" t="str">
        <f t="shared" si="55"/>
        <v/>
      </c>
      <c r="E395" s="22" t="str">
        <f t="shared" si="56"/>
        <v/>
      </c>
      <c r="F395" s="23" t="str">
        <f t="shared" si="57"/>
        <v/>
      </c>
      <c r="G395" s="24" t="str">
        <f t="shared" si="58"/>
        <v/>
      </c>
      <c r="H395" s="25" t="str">
        <f ca="1" t="shared" si="59"/>
        <v/>
      </c>
      <c r="I395" s="26"/>
    </row>
    <row r="396" ht="36" customHeight="1" spans="1:9">
      <c r="A396" s="19"/>
      <c r="B396" s="20" t="str">
        <f t="shared" si="54"/>
        <v/>
      </c>
      <c r="C396" s="21" t="str">
        <f t="shared" si="60"/>
        <v>[]</v>
      </c>
      <c r="D396" s="22" t="str">
        <f t="shared" si="55"/>
        <v/>
      </c>
      <c r="E396" s="22" t="str">
        <f t="shared" si="56"/>
        <v/>
      </c>
      <c r="F396" s="23" t="str">
        <f t="shared" si="57"/>
        <v/>
      </c>
      <c r="G396" s="24" t="str">
        <f t="shared" si="58"/>
        <v/>
      </c>
      <c r="H396" s="25" t="str">
        <f ca="1" t="shared" si="59"/>
        <v/>
      </c>
      <c r="I396" s="26"/>
    </row>
    <row r="397" ht="36" customHeight="1" spans="1:9">
      <c r="A397" s="19"/>
      <c r="B397" s="20" t="str">
        <f t="shared" si="54"/>
        <v/>
      </c>
      <c r="C397" s="21" t="str">
        <f t="shared" si="60"/>
        <v>[]</v>
      </c>
      <c r="D397" s="22" t="str">
        <f t="shared" si="55"/>
        <v/>
      </c>
      <c r="E397" s="22" t="str">
        <f t="shared" si="56"/>
        <v/>
      </c>
      <c r="F397" s="23" t="str">
        <f t="shared" si="57"/>
        <v/>
      </c>
      <c r="G397" s="24" t="str">
        <f t="shared" si="58"/>
        <v/>
      </c>
      <c r="H397" s="25" t="str">
        <f ca="1" t="shared" si="59"/>
        <v/>
      </c>
      <c r="I397" s="26"/>
    </row>
    <row r="398" ht="36" customHeight="1" spans="1:9">
      <c r="A398" s="19"/>
      <c r="B398" s="20" t="str">
        <f t="shared" si="54"/>
        <v/>
      </c>
      <c r="C398" s="21" t="str">
        <f t="shared" si="60"/>
        <v>[]</v>
      </c>
      <c r="D398" s="22" t="str">
        <f t="shared" si="55"/>
        <v/>
      </c>
      <c r="E398" s="22" t="str">
        <f t="shared" si="56"/>
        <v/>
      </c>
      <c r="F398" s="23" t="str">
        <f t="shared" si="57"/>
        <v/>
      </c>
      <c r="G398" s="24" t="str">
        <f t="shared" si="58"/>
        <v/>
      </c>
      <c r="H398" s="25" t="str">
        <f ca="1" t="shared" si="59"/>
        <v/>
      </c>
      <c r="I398" s="26"/>
    </row>
    <row r="399" ht="36" customHeight="1" spans="1:9">
      <c r="A399" s="19"/>
      <c r="B399" s="20" t="str">
        <f t="shared" si="54"/>
        <v/>
      </c>
      <c r="C399" s="21" t="str">
        <f t="shared" si="60"/>
        <v>[]</v>
      </c>
      <c r="D399" s="22" t="str">
        <f t="shared" si="55"/>
        <v/>
      </c>
      <c r="E399" s="22" t="str">
        <f t="shared" si="56"/>
        <v/>
      </c>
      <c r="F399" s="23" t="str">
        <f t="shared" si="57"/>
        <v/>
      </c>
      <c r="G399" s="24" t="str">
        <f t="shared" si="58"/>
        <v/>
      </c>
      <c r="H399" s="25" t="str">
        <f ca="1" t="shared" si="59"/>
        <v/>
      </c>
      <c r="I399" s="26"/>
    </row>
    <row r="400" ht="36" customHeight="1" spans="1:9">
      <c r="A400" s="19"/>
      <c r="B400" s="20" t="str">
        <f t="shared" si="54"/>
        <v/>
      </c>
      <c r="C400" s="21" t="str">
        <f t="shared" si="60"/>
        <v>[]</v>
      </c>
      <c r="D400" s="22" t="str">
        <f t="shared" si="55"/>
        <v/>
      </c>
      <c r="E400" s="22" t="str">
        <f t="shared" si="56"/>
        <v/>
      </c>
      <c r="F400" s="23" t="str">
        <f t="shared" si="57"/>
        <v/>
      </c>
      <c r="G400" s="24" t="str">
        <f t="shared" si="58"/>
        <v/>
      </c>
      <c r="H400" s="25" t="str">
        <f ca="1" t="shared" si="59"/>
        <v/>
      </c>
      <c r="I400" s="26"/>
    </row>
    <row r="401" ht="36" customHeight="1" spans="1:9">
      <c r="A401" s="19"/>
      <c r="B401" s="20" t="str">
        <f t="shared" si="54"/>
        <v/>
      </c>
      <c r="C401" s="21" t="str">
        <f t="shared" si="60"/>
        <v>[]</v>
      </c>
      <c r="D401" s="22" t="str">
        <f t="shared" si="55"/>
        <v/>
      </c>
      <c r="E401" s="22" t="str">
        <f t="shared" si="56"/>
        <v/>
      </c>
      <c r="F401" s="23" t="str">
        <f t="shared" si="57"/>
        <v/>
      </c>
      <c r="G401" s="24" t="str">
        <f t="shared" si="58"/>
        <v/>
      </c>
      <c r="H401" s="25" t="str">
        <f ca="1" t="shared" si="59"/>
        <v/>
      </c>
      <c r="I401" s="26"/>
    </row>
    <row r="402" ht="36" customHeight="1" spans="1:9">
      <c r="A402" s="19"/>
      <c r="B402" s="20" t="str">
        <f t="shared" si="54"/>
        <v/>
      </c>
      <c r="C402" s="21" t="str">
        <f t="shared" si="60"/>
        <v>[]</v>
      </c>
      <c r="D402" s="22" t="str">
        <f t="shared" si="55"/>
        <v/>
      </c>
      <c r="E402" s="22" t="str">
        <f t="shared" si="56"/>
        <v/>
      </c>
      <c r="F402" s="23" t="str">
        <f t="shared" si="57"/>
        <v/>
      </c>
      <c r="G402" s="24" t="str">
        <f t="shared" si="58"/>
        <v/>
      </c>
      <c r="H402" s="25" t="str">
        <f ca="1" t="shared" si="59"/>
        <v/>
      </c>
      <c r="I402" s="26"/>
    </row>
    <row r="403" ht="36" customHeight="1" spans="1:9">
      <c r="A403" s="19"/>
      <c r="B403" s="20" t="str">
        <f t="shared" si="54"/>
        <v/>
      </c>
      <c r="C403" s="21" t="str">
        <f t="shared" si="60"/>
        <v>[]</v>
      </c>
      <c r="D403" s="22" t="str">
        <f t="shared" si="55"/>
        <v/>
      </c>
      <c r="E403" s="22" t="str">
        <f t="shared" si="56"/>
        <v/>
      </c>
      <c r="F403" s="23" t="str">
        <f t="shared" si="57"/>
        <v/>
      </c>
      <c r="G403" s="24" t="str">
        <f t="shared" si="58"/>
        <v/>
      </c>
      <c r="H403" s="25" t="str">
        <f ca="1" t="shared" si="59"/>
        <v/>
      </c>
      <c r="I403" s="26"/>
    </row>
    <row r="404" ht="36" customHeight="1" spans="1:9">
      <c r="A404" s="19"/>
      <c r="B404" s="20" t="str">
        <f t="shared" si="54"/>
        <v/>
      </c>
      <c r="C404" s="21" t="str">
        <f t="shared" si="60"/>
        <v>[]</v>
      </c>
      <c r="D404" s="22" t="str">
        <f t="shared" si="55"/>
        <v/>
      </c>
      <c r="E404" s="22" t="str">
        <f t="shared" si="56"/>
        <v/>
      </c>
      <c r="F404" s="23" t="str">
        <f t="shared" si="57"/>
        <v/>
      </c>
      <c r="G404" s="24" t="str">
        <f t="shared" si="58"/>
        <v/>
      </c>
      <c r="H404" s="25" t="str">
        <f ca="1" t="shared" si="59"/>
        <v/>
      </c>
      <c r="I404" s="26"/>
    </row>
    <row r="405" ht="36" customHeight="1" spans="1:9">
      <c r="A405" s="19"/>
      <c r="B405" s="20" t="str">
        <f t="shared" si="54"/>
        <v/>
      </c>
      <c r="C405" s="21" t="str">
        <f t="shared" si="60"/>
        <v>[]</v>
      </c>
      <c r="D405" s="22" t="str">
        <f t="shared" si="55"/>
        <v/>
      </c>
      <c r="E405" s="22" t="str">
        <f t="shared" si="56"/>
        <v/>
      </c>
      <c r="F405" s="23" t="str">
        <f t="shared" si="57"/>
        <v/>
      </c>
      <c r="G405" s="24" t="str">
        <f t="shared" si="58"/>
        <v/>
      </c>
      <c r="H405" s="25" t="str">
        <f ca="1" t="shared" si="59"/>
        <v/>
      </c>
      <c r="I405" s="26"/>
    </row>
    <row r="406" ht="36" customHeight="1" spans="1:9">
      <c r="A406" s="19"/>
      <c r="B406" s="20" t="str">
        <f t="shared" si="54"/>
        <v/>
      </c>
      <c r="C406" s="21" t="str">
        <f t="shared" si="60"/>
        <v>[]</v>
      </c>
      <c r="D406" s="22" t="str">
        <f t="shared" si="55"/>
        <v/>
      </c>
      <c r="E406" s="22" t="str">
        <f t="shared" si="56"/>
        <v/>
      </c>
      <c r="F406" s="23" t="str">
        <f t="shared" si="57"/>
        <v/>
      </c>
      <c r="G406" s="24" t="str">
        <f t="shared" si="58"/>
        <v/>
      </c>
      <c r="H406" s="25" t="str">
        <f ca="1" t="shared" si="59"/>
        <v/>
      </c>
      <c r="I406" s="26"/>
    </row>
    <row r="407" ht="36" customHeight="1" spans="1:9">
      <c r="A407" s="19"/>
      <c r="B407" s="20" t="str">
        <f t="shared" si="54"/>
        <v/>
      </c>
      <c r="C407" s="21" t="str">
        <f t="shared" si="60"/>
        <v>[]</v>
      </c>
      <c r="D407" s="22" t="str">
        <f t="shared" si="55"/>
        <v/>
      </c>
      <c r="E407" s="22" t="str">
        <f t="shared" si="56"/>
        <v/>
      </c>
      <c r="F407" s="23" t="str">
        <f t="shared" si="57"/>
        <v/>
      </c>
      <c r="G407" s="24" t="str">
        <f t="shared" si="58"/>
        <v/>
      </c>
      <c r="H407" s="25" t="str">
        <f ca="1" t="shared" si="59"/>
        <v/>
      </c>
      <c r="I407" s="26"/>
    </row>
    <row r="408" ht="36" customHeight="1" spans="1:9">
      <c r="A408" s="19"/>
      <c r="B408" s="20" t="str">
        <f t="shared" si="54"/>
        <v/>
      </c>
      <c r="C408" s="21" t="str">
        <f t="shared" si="60"/>
        <v>[]</v>
      </c>
      <c r="D408" s="22" t="str">
        <f t="shared" si="55"/>
        <v/>
      </c>
      <c r="E408" s="22" t="str">
        <f t="shared" si="56"/>
        <v/>
      </c>
      <c r="F408" s="23" t="str">
        <f t="shared" si="57"/>
        <v/>
      </c>
      <c r="G408" s="24" t="str">
        <f t="shared" si="58"/>
        <v/>
      </c>
      <c r="H408" s="25" t="str">
        <f ca="1" t="shared" si="59"/>
        <v/>
      </c>
      <c r="I408" s="26"/>
    </row>
    <row r="409" ht="36" customHeight="1" spans="1:9">
      <c r="A409" s="19"/>
      <c r="B409" s="20" t="str">
        <f t="shared" si="54"/>
        <v/>
      </c>
      <c r="C409" s="21" t="str">
        <f t="shared" si="60"/>
        <v>[]</v>
      </c>
      <c r="D409" s="22" t="str">
        <f t="shared" si="55"/>
        <v/>
      </c>
      <c r="E409" s="22" t="str">
        <f t="shared" si="56"/>
        <v/>
      </c>
      <c r="F409" s="23" t="str">
        <f t="shared" si="57"/>
        <v/>
      </c>
      <c r="G409" s="24" t="str">
        <f t="shared" si="58"/>
        <v/>
      </c>
      <c r="H409" s="25" t="str">
        <f ca="1" t="shared" si="59"/>
        <v/>
      </c>
      <c r="I409" s="26"/>
    </row>
    <row r="410" ht="36" customHeight="1" spans="1:9">
      <c r="A410" s="19"/>
      <c r="B410" s="20" t="str">
        <f t="shared" si="54"/>
        <v/>
      </c>
      <c r="C410" s="21" t="str">
        <f t="shared" si="60"/>
        <v>[]</v>
      </c>
      <c r="D410" s="22" t="str">
        <f t="shared" si="55"/>
        <v/>
      </c>
      <c r="E410" s="22" t="str">
        <f t="shared" si="56"/>
        <v/>
      </c>
      <c r="F410" s="23" t="str">
        <f t="shared" si="57"/>
        <v/>
      </c>
      <c r="G410" s="24" t="str">
        <f t="shared" si="58"/>
        <v/>
      </c>
      <c r="H410" s="25" t="str">
        <f ca="1" t="shared" si="59"/>
        <v/>
      </c>
      <c r="I410" s="26"/>
    </row>
    <row r="411" ht="36" customHeight="1" spans="1:9">
      <c r="A411" s="19"/>
      <c r="B411" s="20" t="str">
        <f t="shared" si="54"/>
        <v/>
      </c>
      <c r="C411" s="21" t="str">
        <f t="shared" si="60"/>
        <v>[]</v>
      </c>
      <c r="D411" s="22" t="str">
        <f t="shared" si="55"/>
        <v/>
      </c>
      <c r="E411" s="22" t="str">
        <f t="shared" si="56"/>
        <v/>
      </c>
      <c r="F411" s="23" t="str">
        <f t="shared" si="57"/>
        <v/>
      </c>
      <c r="G411" s="24" t="str">
        <f t="shared" si="58"/>
        <v/>
      </c>
      <c r="H411" s="25" t="str">
        <f ca="1" t="shared" si="59"/>
        <v/>
      </c>
      <c r="I411" s="26"/>
    </row>
    <row r="412" ht="36" customHeight="1" spans="1:9">
      <c r="A412" s="19"/>
      <c r="B412" s="20" t="str">
        <f t="shared" si="54"/>
        <v/>
      </c>
      <c r="C412" s="21" t="str">
        <f t="shared" si="60"/>
        <v>[]</v>
      </c>
      <c r="D412" s="22" t="str">
        <f t="shared" si="55"/>
        <v/>
      </c>
      <c r="E412" s="22" t="str">
        <f t="shared" si="56"/>
        <v/>
      </c>
      <c r="F412" s="23" t="str">
        <f t="shared" si="57"/>
        <v/>
      </c>
      <c r="G412" s="24" t="str">
        <f t="shared" si="58"/>
        <v/>
      </c>
      <c r="H412" s="25" t="str">
        <f ca="1" t="shared" si="59"/>
        <v/>
      </c>
      <c r="I412" s="26"/>
    </row>
    <row r="413" ht="36" customHeight="1" spans="1:9">
      <c r="A413" s="19"/>
      <c r="B413" s="20" t="str">
        <f t="shared" si="54"/>
        <v/>
      </c>
      <c r="C413" s="21" t="str">
        <f t="shared" si="60"/>
        <v>[]</v>
      </c>
      <c r="D413" s="22" t="str">
        <f t="shared" si="55"/>
        <v/>
      </c>
      <c r="E413" s="22" t="str">
        <f t="shared" si="56"/>
        <v/>
      </c>
      <c r="F413" s="23" t="str">
        <f t="shared" si="57"/>
        <v/>
      </c>
      <c r="G413" s="24" t="str">
        <f t="shared" si="58"/>
        <v/>
      </c>
      <c r="H413" s="25" t="str">
        <f ca="1" t="shared" si="59"/>
        <v/>
      </c>
      <c r="I413" s="26"/>
    </row>
    <row r="414" ht="36" customHeight="1" spans="1:9">
      <c r="A414" s="19"/>
      <c r="B414" s="20" t="str">
        <f t="shared" si="54"/>
        <v/>
      </c>
      <c r="C414" s="21" t="str">
        <f t="shared" si="60"/>
        <v>[]</v>
      </c>
      <c r="D414" s="22" t="str">
        <f t="shared" si="55"/>
        <v/>
      </c>
      <c r="E414" s="22" t="str">
        <f t="shared" si="56"/>
        <v/>
      </c>
      <c r="F414" s="23" t="str">
        <f t="shared" si="57"/>
        <v/>
      </c>
      <c r="G414" s="24" t="str">
        <f t="shared" si="58"/>
        <v/>
      </c>
      <c r="H414" s="25" t="str">
        <f ca="1" t="shared" si="59"/>
        <v/>
      </c>
      <c r="I414" s="26"/>
    </row>
    <row r="415" ht="36" customHeight="1" spans="1:9">
      <c r="A415" s="19"/>
      <c r="B415" s="20" t="str">
        <f t="shared" si="54"/>
        <v/>
      </c>
      <c r="C415" s="21" t="str">
        <f t="shared" si="60"/>
        <v>[]</v>
      </c>
      <c r="D415" s="22" t="str">
        <f t="shared" si="55"/>
        <v/>
      </c>
      <c r="E415" s="22" t="str">
        <f t="shared" si="56"/>
        <v/>
      </c>
      <c r="F415" s="23" t="str">
        <f t="shared" si="57"/>
        <v/>
      </c>
      <c r="G415" s="24" t="str">
        <f t="shared" si="58"/>
        <v/>
      </c>
      <c r="H415" s="25" t="str">
        <f ca="1" t="shared" si="59"/>
        <v/>
      </c>
      <c r="I415" s="26"/>
    </row>
    <row r="416" ht="36" customHeight="1" spans="1:9">
      <c r="A416" s="19"/>
      <c r="B416" s="20" t="str">
        <f t="shared" si="54"/>
        <v/>
      </c>
      <c r="C416" s="21" t="str">
        <f t="shared" si="60"/>
        <v>[]</v>
      </c>
      <c r="D416" s="22" t="str">
        <f t="shared" si="55"/>
        <v/>
      </c>
      <c r="E416" s="22" t="str">
        <f t="shared" si="56"/>
        <v/>
      </c>
      <c r="F416" s="23" t="str">
        <f t="shared" si="57"/>
        <v/>
      </c>
      <c r="G416" s="24" t="str">
        <f t="shared" si="58"/>
        <v/>
      </c>
      <c r="H416" s="25" t="str">
        <f ca="1" t="shared" si="59"/>
        <v/>
      </c>
      <c r="I416" s="26"/>
    </row>
    <row r="417" ht="36" customHeight="1" spans="1:9">
      <c r="A417" s="19"/>
      <c r="B417" s="20" t="str">
        <f t="shared" si="54"/>
        <v/>
      </c>
      <c r="C417" s="21" t="str">
        <f t="shared" si="60"/>
        <v>[]</v>
      </c>
      <c r="D417" s="22" t="str">
        <f t="shared" si="55"/>
        <v/>
      </c>
      <c r="E417" s="22" t="str">
        <f t="shared" si="56"/>
        <v/>
      </c>
      <c r="F417" s="23" t="str">
        <f t="shared" si="57"/>
        <v/>
      </c>
      <c r="G417" s="24" t="str">
        <f t="shared" si="58"/>
        <v/>
      </c>
      <c r="H417" s="25" t="str">
        <f ca="1" t="shared" si="59"/>
        <v/>
      </c>
      <c r="I417" s="26"/>
    </row>
    <row r="418" ht="36" customHeight="1" spans="1:9">
      <c r="A418" s="19"/>
      <c r="B418" s="20" t="str">
        <f t="shared" si="54"/>
        <v/>
      </c>
      <c r="C418" s="21" t="str">
        <f t="shared" si="60"/>
        <v>[]</v>
      </c>
      <c r="D418" s="22" t="str">
        <f t="shared" si="55"/>
        <v/>
      </c>
      <c r="E418" s="22" t="str">
        <f t="shared" si="56"/>
        <v/>
      </c>
      <c r="F418" s="23" t="str">
        <f t="shared" si="57"/>
        <v/>
      </c>
      <c r="G418" s="24" t="str">
        <f t="shared" si="58"/>
        <v/>
      </c>
      <c r="H418" s="25" t="str">
        <f ca="1" t="shared" si="59"/>
        <v/>
      </c>
      <c r="I418" s="26"/>
    </row>
    <row r="419" ht="36" customHeight="1" spans="1:9">
      <c r="A419" s="19"/>
      <c r="B419" s="20" t="str">
        <f t="shared" si="54"/>
        <v/>
      </c>
      <c r="C419" s="21" t="str">
        <f t="shared" si="60"/>
        <v>[]</v>
      </c>
      <c r="D419" s="22" t="str">
        <f t="shared" si="55"/>
        <v/>
      </c>
      <c r="E419" s="22" t="str">
        <f t="shared" si="56"/>
        <v/>
      </c>
      <c r="F419" s="23" t="str">
        <f t="shared" si="57"/>
        <v/>
      </c>
      <c r="G419" s="24" t="str">
        <f t="shared" si="58"/>
        <v/>
      </c>
      <c r="H419" s="25" t="str">
        <f ca="1" t="shared" si="59"/>
        <v/>
      </c>
      <c r="I419" s="26"/>
    </row>
    <row r="420" ht="36" customHeight="1" spans="1:9">
      <c r="A420" s="19"/>
      <c r="B420" s="20" t="str">
        <f t="shared" si="54"/>
        <v/>
      </c>
      <c r="C420" s="21" t="str">
        <f t="shared" si="60"/>
        <v>[]</v>
      </c>
      <c r="D420" s="22" t="str">
        <f t="shared" si="55"/>
        <v/>
      </c>
      <c r="E420" s="22" t="str">
        <f t="shared" si="56"/>
        <v/>
      </c>
      <c r="F420" s="23" t="str">
        <f t="shared" si="57"/>
        <v/>
      </c>
      <c r="G420" s="24" t="str">
        <f t="shared" si="58"/>
        <v/>
      </c>
      <c r="H420" s="25" t="str">
        <f ca="1" t="shared" si="59"/>
        <v/>
      </c>
      <c r="I420" s="26"/>
    </row>
    <row r="421" ht="36" customHeight="1" spans="1:9">
      <c r="A421" s="19"/>
      <c r="B421" s="20" t="str">
        <f t="shared" si="54"/>
        <v/>
      </c>
      <c r="C421" s="21" t="str">
        <f t="shared" si="60"/>
        <v>[]</v>
      </c>
      <c r="D421" s="22" t="str">
        <f t="shared" si="55"/>
        <v/>
      </c>
      <c r="E421" s="22" t="str">
        <f t="shared" si="56"/>
        <v/>
      </c>
      <c r="F421" s="23" t="str">
        <f t="shared" si="57"/>
        <v/>
      </c>
      <c r="G421" s="24" t="str">
        <f t="shared" si="58"/>
        <v/>
      </c>
      <c r="H421" s="25" t="str">
        <f ca="1" t="shared" si="59"/>
        <v/>
      </c>
      <c r="I421" s="26"/>
    </row>
    <row r="422" ht="36" customHeight="1" spans="1:9">
      <c r="A422" s="19"/>
      <c r="B422" s="20" t="str">
        <f t="shared" si="54"/>
        <v/>
      </c>
      <c r="C422" s="21" t="str">
        <f t="shared" si="60"/>
        <v>[]</v>
      </c>
      <c r="D422" s="22" t="str">
        <f t="shared" si="55"/>
        <v/>
      </c>
      <c r="E422" s="22" t="str">
        <f t="shared" si="56"/>
        <v/>
      </c>
      <c r="F422" s="23" t="str">
        <f t="shared" si="57"/>
        <v/>
      </c>
      <c r="G422" s="24" t="str">
        <f t="shared" si="58"/>
        <v/>
      </c>
      <c r="H422" s="25" t="str">
        <f ca="1" t="shared" si="59"/>
        <v/>
      </c>
      <c r="I422" s="26"/>
    </row>
    <row r="423" ht="36" customHeight="1" spans="1:9">
      <c r="A423" s="19"/>
      <c r="B423" s="20" t="str">
        <f t="shared" si="54"/>
        <v/>
      </c>
      <c r="C423" s="21" t="str">
        <f t="shared" si="60"/>
        <v>[]</v>
      </c>
      <c r="D423" s="22" t="str">
        <f t="shared" si="55"/>
        <v/>
      </c>
      <c r="E423" s="22" t="str">
        <f t="shared" si="56"/>
        <v/>
      </c>
      <c r="F423" s="23" t="str">
        <f t="shared" si="57"/>
        <v/>
      </c>
      <c r="G423" s="24" t="str">
        <f t="shared" si="58"/>
        <v/>
      </c>
      <c r="H423" s="25" t="str">
        <f ca="1" t="shared" si="59"/>
        <v/>
      </c>
      <c r="I423" s="26"/>
    </row>
    <row r="424" ht="36" customHeight="1" spans="1:9">
      <c r="A424" s="19"/>
      <c r="B424" s="20" t="str">
        <f t="shared" si="54"/>
        <v/>
      </c>
      <c r="C424" s="21" t="str">
        <f t="shared" si="60"/>
        <v>[]</v>
      </c>
      <c r="D424" s="22" t="str">
        <f t="shared" si="55"/>
        <v/>
      </c>
      <c r="E424" s="22" t="str">
        <f t="shared" si="56"/>
        <v/>
      </c>
      <c r="F424" s="23" t="str">
        <f t="shared" si="57"/>
        <v/>
      </c>
      <c r="G424" s="24" t="str">
        <f t="shared" si="58"/>
        <v/>
      </c>
      <c r="H424" s="25" t="str">
        <f ca="1" t="shared" si="59"/>
        <v/>
      </c>
      <c r="I424" s="26"/>
    </row>
    <row r="425" ht="36" customHeight="1" spans="1:9">
      <c r="A425" s="19"/>
      <c r="B425" s="20" t="str">
        <f t="shared" si="54"/>
        <v/>
      </c>
      <c r="C425" s="21" t="str">
        <f t="shared" si="60"/>
        <v>[]</v>
      </c>
      <c r="D425" s="22" t="str">
        <f t="shared" si="55"/>
        <v/>
      </c>
      <c r="E425" s="22" t="str">
        <f t="shared" si="56"/>
        <v/>
      </c>
      <c r="F425" s="23" t="str">
        <f t="shared" si="57"/>
        <v/>
      </c>
      <c r="G425" s="24" t="str">
        <f t="shared" si="58"/>
        <v/>
      </c>
      <c r="H425" s="25" t="str">
        <f ca="1" t="shared" si="59"/>
        <v/>
      </c>
      <c r="I425" s="26"/>
    </row>
    <row r="426" ht="36" customHeight="1" spans="1:9">
      <c r="A426" s="19"/>
      <c r="B426" s="20" t="str">
        <f t="shared" si="54"/>
        <v/>
      </c>
      <c r="C426" s="21" t="str">
        <f t="shared" si="60"/>
        <v>[]</v>
      </c>
      <c r="D426" s="22" t="str">
        <f t="shared" si="55"/>
        <v/>
      </c>
      <c r="E426" s="22" t="str">
        <f t="shared" si="56"/>
        <v/>
      </c>
      <c r="F426" s="23" t="str">
        <f t="shared" si="57"/>
        <v/>
      </c>
      <c r="G426" s="24" t="str">
        <f t="shared" si="58"/>
        <v/>
      </c>
      <c r="H426" s="25" t="str">
        <f ca="1" t="shared" si="59"/>
        <v/>
      </c>
      <c r="I426" s="26"/>
    </row>
    <row r="427" ht="36" customHeight="1" spans="1:9">
      <c r="A427" s="19"/>
      <c r="B427" s="20" t="str">
        <f t="shared" si="54"/>
        <v/>
      </c>
      <c r="C427" s="21" t="str">
        <f t="shared" si="60"/>
        <v>[]</v>
      </c>
      <c r="D427" s="22" t="str">
        <f t="shared" si="55"/>
        <v/>
      </c>
      <c r="E427" s="22" t="str">
        <f t="shared" si="56"/>
        <v/>
      </c>
      <c r="F427" s="23" t="str">
        <f t="shared" si="57"/>
        <v/>
      </c>
      <c r="G427" s="24" t="str">
        <f t="shared" si="58"/>
        <v/>
      </c>
      <c r="H427" s="25" t="str">
        <f ca="1" t="shared" si="59"/>
        <v/>
      </c>
      <c r="I427" s="26"/>
    </row>
    <row r="428" ht="36" customHeight="1" spans="1:9">
      <c r="A428" s="19"/>
      <c r="B428" s="20" t="str">
        <f t="shared" si="54"/>
        <v/>
      </c>
      <c r="C428" s="21" t="str">
        <f t="shared" si="60"/>
        <v>[]</v>
      </c>
      <c r="D428" s="22" t="str">
        <f t="shared" si="55"/>
        <v/>
      </c>
      <c r="E428" s="22" t="str">
        <f t="shared" si="56"/>
        <v/>
      </c>
      <c r="F428" s="23" t="str">
        <f t="shared" si="57"/>
        <v/>
      </c>
      <c r="G428" s="24" t="str">
        <f t="shared" si="58"/>
        <v/>
      </c>
      <c r="H428" s="25" t="str">
        <f ca="1" t="shared" si="59"/>
        <v/>
      </c>
      <c r="I428" s="26"/>
    </row>
    <row r="429" ht="36" customHeight="1" spans="1:9">
      <c r="A429" s="19"/>
      <c r="B429" s="20" t="str">
        <f t="shared" si="54"/>
        <v/>
      </c>
      <c r="C429" s="21" t="str">
        <f t="shared" si="60"/>
        <v>[]</v>
      </c>
      <c r="D429" s="22" t="str">
        <f t="shared" si="55"/>
        <v/>
      </c>
      <c r="E429" s="22" t="str">
        <f t="shared" si="56"/>
        <v/>
      </c>
      <c r="F429" s="23" t="str">
        <f t="shared" si="57"/>
        <v/>
      </c>
      <c r="G429" s="24" t="str">
        <f t="shared" si="58"/>
        <v/>
      </c>
      <c r="H429" s="25" t="str">
        <f ca="1" t="shared" si="59"/>
        <v/>
      </c>
      <c r="I429" s="26"/>
    </row>
    <row r="430" ht="36" customHeight="1" spans="1:9">
      <c r="A430" s="19"/>
      <c r="B430" s="20" t="str">
        <f t="shared" si="54"/>
        <v/>
      </c>
      <c r="C430" s="21" t="str">
        <f t="shared" si="60"/>
        <v>[]</v>
      </c>
      <c r="D430" s="22" t="str">
        <f t="shared" si="55"/>
        <v/>
      </c>
      <c r="E430" s="22" t="str">
        <f t="shared" si="56"/>
        <v/>
      </c>
      <c r="F430" s="23" t="str">
        <f t="shared" si="57"/>
        <v/>
      </c>
      <c r="G430" s="24" t="str">
        <f t="shared" si="58"/>
        <v/>
      </c>
      <c r="H430" s="25" t="str">
        <f ca="1" t="shared" si="59"/>
        <v/>
      </c>
      <c r="I430" s="26"/>
    </row>
    <row r="431" ht="36" customHeight="1" spans="1:9">
      <c r="A431" s="19"/>
      <c r="B431" s="20" t="str">
        <f t="shared" si="54"/>
        <v/>
      </c>
      <c r="C431" s="21" t="str">
        <f t="shared" si="60"/>
        <v>[]</v>
      </c>
      <c r="D431" s="22" t="str">
        <f t="shared" si="55"/>
        <v/>
      </c>
      <c r="E431" s="22" t="str">
        <f t="shared" si="56"/>
        <v/>
      </c>
      <c r="F431" s="23" t="str">
        <f t="shared" si="57"/>
        <v/>
      </c>
      <c r="G431" s="24" t="str">
        <f t="shared" si="58"/>
        <v/>
      </c>
      <c r="H431" s="25" t="str">
        <f ca="1" t="shared" si="59"/>
        <v/>
      </c>
      <c r="I431" s="26"/>
    </row>
    <row r="432" ht="36" customHeight="1" spans="1:9">
      <c r="A432" s="19"/>
      <c r="B432" s="20" t="str">
        <f t="shared" si="54"/>
        <v/>
      </c>
      <c r="C432" s="21" t="str">
        <f t="shared" si="60"/>
        <v>[]</v>
      </c>
      <c r="D432" s="22" t="str">
        <f t="shared" si="55"/>
        <v/>
      </c>
      <c r="E432" s="22" t="str">
        <f t="shared" si="56"/>
        <v/>
      </c>
      <c r="F432" s="23" t="str">
        <f t="shared" si="57"/>
        <v/>
      </c>
      <c r="G432" s="24" t="str">
        <f t="shared" si="58"/>
        <v/>
      </c>
      <c r="H432" s="25" t="str">
        <f ca="1" t="shared" si="59"/>
        <v/>
      </c>
      <c r="I432" s="26"/>
    </row>
    <row r="433" ht="36" customHeight="1" spans="1:9">
      <c r="A433" s="19"/>
      <c r="B433" s="20" t="str">
        <f t="shared" si="54"/>
        <v/>
      </c>
      <c r="C433" s="21" t="str">
        <f t="shared" si="60"/>
        <v>[]</v>
      </c>
      <c r="D433" s="22" t="str">
        <f t="shared" si="55"/>
        <v/>
      </c>
      <c r="E433" s="22" t="str">
        <f t="shared" si="56"/>
        <v/>
      </c>
      <c r="F433" s="23" t="str">
        <f t="shared" si="57"/>
        <v/>
      </c>
      <c r="G433" s="24" t="str">
        <f t="shared" si="58"/>
        <v/>
      </c>
      <c r="H433" s="25" t="str">
        <f ca="1" t="shared" si="59"/>
        <v/>
      </c>
      <c r="I433" s="26"/>
    </row>
    <row r="434" ht="36" customHeight="1" spans="1:9">
      <c r="A434" s="19"/>
      <c r="B434" s="20" t="str">
        <f t="shared" si="54"/>
        <v/>
      </c>
      <c r="C434" s="21" t="str">
        <f t="shared" si="60"/>
        <v>[]</v>
      </c>
      <c r="D434" s="22" t="str">
        <f t="shared" si="55"/>
        <v/>
      </c>
      <c r="E434" s="22" t="str">
        <f t="shared" si="56"/>
        <v/>
      </c>
      <c r="F434" s="23" t="str">
        <f t="shared" si="57"/>
        <v/>
      </c>
      <c r="G434" s="24" t="str">
        <f t="shared" si="58"/>
        <v/>
      </c>
      <c r="H434" s="25" t="str">
        <f ca="1" t="shared" si="59"/>
        <v/>
      </c>
      <c r="I434" s="26"/>
    </row>
    <row r="435" ht="36" customHeight="1" spans="1:9">
      <c r="A435" s="19"/>
      <c r="B435" s="20" t="str">
        <f t="shared" si="54"/>
        <v/>
      </c>
      <c r="C435" s="21" t="str">
        <f t="shared" si="60"/>
        <v>[]</v>
      </c>
      <c r="D435" s="22" t="str">
        <f t="shared" si="55"/>
        <v/>
      </c>
      <c r="E435" s="22" t="str">
        <f t="shared" si="56"/>
        <v/>
      </c>
      <c r="F435" s="23" t="str">
        <f t="shared" si="57"/>
        <v/>
      </c>
      <c r="G435" s="24" t="str">
        <f t="shared" si="58"/>
        <v/>
      </c>
      <c r="H435" s="25" t="str">
        <f ca="1" t="shared" si="59"/>
        <v/>
      </c>
      <c r="I435" s="26"/>
    </row>
    <row r="436" ht="36" customHeight="1" spans="1:9">
      <c r="A436" s="19"/>
      <c r="B436" s="20" t="str">
        <f t="shared" si="54"/>
        <v/>
      </c>
      <c r="C436" s="21" t="str">
        <f t="shared" si="60"/>
        <v>[]</v>
      </c>
      <c r="D436" s="22" t="str">
        <f t="shared" si="55"/>
        <v/>
      </c>
      <c r="E436" s="22" t="str">
        <f t="shared" si="56"/>
        <v/>
      </c>
      <c r="F436" s="23" t="str">
        <f t="shared" si="57"/>
        <v/>
      </c>
      <c r="G436" s="24" t="str">
        <f t="shared" si="58"/>
        <v/>
      </c>
      <c r="H436" s="25" t="str">
        <f ca="1" t="shared" si="59"/>
        <v/>
      </c>
      <c r="I436" s="26"/>
    </row>
    <row r="437" ht="36" customHeight="1" spans="1:9">
      <c r="A437" s="19"/>
      <c r="B437" s="20" t="str">
        <f t="shared" si="54"/>
        <v/>
      </c>
      <c r="C437" s="21" t="str">
        <f t="shared" si="60"/>
        <v>[]</v>
      </c>
      <c r="D437" s="22" t="str">
        <f t="shared" si="55"/>
        <v/>
      </c>
      <c r="E437" s="22" t="str">
        <f t="shared" si="56"/>
        <v/>
      </c>
      <c r="F437" s="23" t="str">
        <f t="shared" si="57"/>
        <v/>
      </c>
      <c r="G437" s="24" t="str">
        <f t="shared" si="58"/>
        <v/>
      </c>
      <c r="H437" s="25" t="str">
        <f ca="1" t="shared" si="59"/>
        <v/>
      </c>
      <c r="I437" s="26"/>
    </row>
    <row r="438" ht="36" customHeight="1" spans="1:9">
      <c r="A438" s="19"/>
      <c r="B438" s="20" t="str">
        <f t="shared" si="54"/>
        <v/>
      </c>
      <c r="C438" s="21" t="str">
        <f t="shared" si="60"/>
        <v>[]</v>
      </c>
      <c r="D438" s="22" t="str">
        <f t="shared" si="55"/>
        <v/>
      </c>
      <c r="E438" s="22" t="str">
        <f t="shared" si="56"/>
        <v/>
      </c>
      <c r="F438" s="23" t="str">
        <f t="shared" si="57"/>
        <v/>
      </c>
      <c r="G438" s="24" t="str">
        <f t="shared" si="58"/>
        <v/>
      </c>
      <c r="H438" s="25" t="str">
        <f ca="1" t="shared" si="59"/>
        <v/>
      </c>
      <c r="I438" s="26"/>
    </row>
    <row r="439" ht="36" customHeight="1" spans="1:9">
      <c r="A439" s="19"/>
      <c r="B439" s="20" t="str">
        <f t="shared" si="54"/>
        <v/>
      </c>
      <c r="C439" s="21" t="str">
        <f t="shared" si="60"/>
        <v>[]</v>
      </c>
      <c r="D439" s="22" t="str">
        <f t="shared" si="55"/>
        <v/>
      </c>
      <c r="E439" s="22" t="str">
        <f t="shared" si="56"/>
        <v/>
      </c>
      <c r="F439" s="23" t="str">
        <f t="shared" si="57"/>
        <v/>
      </c>
      <c r="G439" s="24" t="str">
        <f t="shared" si="58"/>
        <v/>
      </c>
      <c r="H439" s="25" t="str">
        <f ca="1" t="shared" si="59"/>
        <v/>
      </c>
      <c r="I439" s="26"/>
    </row>
    <row r="440" ht="36" customHeight="1" spans="1:9">
      <c r="A440" s="19"/>
      <c r="B440" s="20" t="str">
        <f t="shared" ref="B440:B498" si="61">IFERROR("@"&amp;MID(A440,SEARCH("{",A440)+1,SEARCH(",",A440)-SEARCH("{",A440)-1),"")</f>
        <v/>
      </c>
      <c r="C440" s="21" t="str">
        <f t="shared" si="60"/>
        <v>[]</v>
      </c>
      <c r="D440" s="22" t="str">
        <f t="shared" ref="D440:D490" si="62">IFERROR(MID(A440,SEARCH("year = {",A440)+8,4),"")</f>
        <v/>
      </c>
      <c r="E440" s="22" t="str">
        <f t="shared" ref="E440:E490" si="63">IFERROR(MID(A440,SEARCH("author = {",A440)+10,SEARCH("}",A440,SEARCH("author = {",A440))-SEARCH("author = {",A440)-10),"")</f>
        <v/>
      </c>
      <c r="F440" s="23" t="str">
        <f t="shared" ref="F440:F490" si="64">IFERROR(IF(ISERROR(FIND("title =",A440)),"",MID(A440,FIND("title =",A440)+9,FIND("},",A440,FIND("title =",A440))-FIND("title =",A440)-9)),"")</f>
        <v/>
      </c>
      <c r="G440" s="24" t="str">
        <f t="shared" ref="G440:G490" si="65">IFERROR("https://doi.org/"&amp;MID(A440,SEARCH("doi = {",A440)+7,FIND("}",A440,SEARCH("doi = {",A440))-SEARCH("doi = {",A440)-7),"")</f>
        <v/>
      </c>
      <c r="H440" s="25" t="str">
        <f ca="1" t="shared" ref="H440:H490" si="66">IF(A440&lt;&gt;"",IF(H440&lt;&gt;"",H440,NOW()),"")</f>
        <v/>
      </c>
      <c r="I440" s="26"/>
    </row>
    <row r="441" ht="36" customHeight="1" spans="1:9">
      <c r="A441" s="19"/>
      <c r="B441" s="20" t="str">
        <f t="shared" si="61"/>
        <v/>
      </c>
      <c r="C441" s="21" t="str">
        <f t="shared" ref="C441:C490" si="67">"["&amp;B441&amp;"]"</f>
        <v>[]</v>
      </c>
      <c r="D441" s="22" t="str">
        <f t="shared" si="62"/>
        <v/>
      </c>
      <c r="E441" s="22" t="str">
        <f t="shared" si="63"/>
        <v/>
      </c>
      <c r="F441" s="23" t="str">
        <f t="shared" si="64"/>
        <v/>
      </c>
      <c r="G441" s="24" t="str">
        <f t="shared" si="65"/>
        <v/>
      </c>
      <c r="H441" s="25" t="str">
        <f ca="1" t="shared" si="66"/>
        <v/>
      </c>
      <c r="I441" s="26"/>
    </row>
    <row r="442" ht="36" customHeight="1" spans="1:9">
      <c r="A442" s="19"/>
      <c r="B442" s="20" t="str">
        <f t="shared" si="61"/>
        <v/>
      </c>
      <c r="C442" s="21" t="str">
        <f t="shared" si="67"/>
        <v>[]</v>
      </c>
      <c r="D442" s="22" t="str">
        <f t="shared" si="62"/>
        <v/>
      </c>
      <c r="E442" s="22" t="str">
        <f t="shared" si="63"/>
        <v/>
      </c>
      <c r="F442" s="23" t="str">
        <f t="shared" si="64"/>
        <v/>
      </c>
      <c r="G442" s="24" t="str">
        <f t="shared" si="65"/>
        <v/>
      </c>
      <c r="H442" s="25" t="str">
        <f ca="1" t="shared" si="66"/>
        <v/>
      </c>
      <c r="I442" s="26"/>
    </row>
    <row r="443" ht="36" customHeight="1" spans="1:9">
      <c r="A443" s="19"/>
      <c r="B443" s="20" t="str">
        <f t="shared" si="61"/>
        <v/>
      </c>
      <c r="C443" s="21" t="str">
        <f t="shared" si="67"/>
        <v>[]</v>
      </c>
      <c r="D443" s="22" t="str">
        <f t="shared" si="62"/>
        <v/>
      </c>
      <c r="E443" s="22" t="str">
        <f t="shared" si="63"/>
        <v/>
      </c>
      <c r="F443" s="23" t="str">
        <f t="shared" si="64"/>
        <v/>
      </c>
      <c r="G443" s="24" t="str">
        <f t="shared" si="65"/>
        <v/>
      </c>
      <c r="H443" s="25" t="str">
        <f ca="1" t="shared" si="66"/>
        <v/>
      </c>
      <c r="I443" s="26"/>
    </row>
    <row r="444" ht="36" customHeight="1" spans="1:9">
      <c r="A444" s="19"/>
      <c r="B444" s="20" t="str">
        <f t="shared" si="61"/>
        <v/>
      </c>
      <c r="C444" s="21" t="str">
        <f t="shared" si="67"/>
        <v>[]</v>
      </c>
      <c r="D444" s="22" t="str">
        <f t="shared" si="62"/>
        <v/>
      </c>
      <c r="E444" s="22" t="str">
        <f t="shared" si="63"/>
        <v/>
      </c>
      <c r="F444" s="23" t="str">
        <f t="shared" si="64"/>
        <v/>
      </c>
      <c r="G444" s="24" t="str">
        <f t="shared" si="65"/>
        <v/>
      </c>
      <c r="H444" s="25" t="str">
        <f ca="1" t="shared" si="66"/>
        <v/>
      </c>
      <c r="I444" s="26"/>
    </row>
    <row r="445" ht="36" customHeight="1" spans="1:9">
      <c r="A445" s="19"/>
      <c r="B445" s="20" t="str">
        <f t="shared" si="61"/>
        <v/>
      </c>
      <c r="C445" s="21" t="str">
        <f t="shared" si="67"/>
        <v>[]</v>
      </c>
      <c r="D445" s="22" t="str">
        <f t="shared" si="62"/>
        <v/>
      </c>
      <c r="E445" s="22" t="str">
        <f t="shared" si="63"/>
        <v/>
      </c>
      <c r="F445" s="23" t="str">
        <f t="shared" si="64"/>
        <v/>
      </c>
      <c r="G445" s="24" t="str">
        <f t="shared" si="65"/>
        <v/>
      </c>
      <c r="H445" s="25" t="str">
        <f ca="1" t="shared" si="66"/>
        <v/>
      </c>
      <c r="I445" s="26"/>
    </row>
    <row r="446" ht="36" customHeight="1" spans="1:9">
      <c r="A446" s="19"/>
      <c r="B446" s="20" t="str">
        <f t="shared" si="61"/>
        <v/>
      </c>
      <c r="C446" s="21" t="str">
        <f t="shared" si="67"/>
        <v>[]</v>
      </c>
      <c r="D446" s="22" t="str">
        <f t="shared" si="62"/>
        <v/>
      </c>
      <c r="E446" s="22" t="str">
        <f t="shared" si="63"/>
        <v/>
      </c>
      <c r="F446" s="23" t="str">
        <f t="shared" si="64"/>
        <v/>
      </c>
      <c r="G446" s="24" t="str">
        <f t="shared" si="65"/>
        <v/>
      </c>
      <c r="H446" s="25" t="str">
        <f ca="1" t="shared" si="66"/>
        <v/>
      </c>
      <c r="I446" s="26"/>
    </row>
    <row r="447" ht="36" customHeight="1" spans="1:9">
      <c r="A447" s="19"/>
      <c r="B447" s="20" t="str">
        <f t="shared" si="61"/>
        <v/>
      </c>
      <c r="C447" s="21" t="str">
        <f t="shared" si="67"/>
        <v>[]</v>
      </c>
      <c r="D447" s="22" t="str">
        <f t="shared" si="62"/>
        <v/>
      </c>
      <c r="E447" s="22" t="str">
        <f t="shared" si="63"/>
        <v/>
      </c>
      <c r="F447" s="23" t="str">
        <f t="shared" si="64"/>
        <v/>
      </c>
      <c r="G447" s="24" t="str">
        <f t="shared" si="65"/>
        <v/>
      </c>
      <c r="H447" s="25" t="str">
        <f ca="1" t="shared" si="66"/>
        <v/>
      </c>
      <c r="I447" s="26"/>
    </row>
    <row r="448" ht="36" customHeight="1" spans="1:9">
      <c r="A448" s="19"/>
      <c r="B448" s="20" t="str">
        <f t="shared" si="61"/>
        <v/>
      </c>
      <c r="C448" s="21" t="str">
        <f t="shared" si="67"/>
        <v>[]</v>
      </c>
      <c r="D448" s="22" t="str">
        <f t="shared" si="62"/>
        <v/>
      </c>
      <c r="E448" s="22" t="str">
        <f t="shared" si="63"/>
        <v/>
      </c>
      <c r="F448" s="23" t="str">
        <f t="shared" si="64"/>
        <v/>
      </c>
      <c r="G448" s="24" t="str">
        <f t="shared" si="65"/>
        <v/>
      </c>
      <c r="H448" s="25" t="str">
        <f ca="1" t="shared" si="66"/>
        <v/>
      </c>
      <c r="I448" s="26"/>
    </row>
    <row r="449" ht="36" customHeight="1" spans="1:9">
      <c r="A449" s="19"/>
      <c r="B449" s="20" t="str">
        <f t="shared" si="61"/>
        <v/>
      </c>
      <c r="C449" s="21" t="str">
        <f t="shared" si="67"/>
        <v>[]</v>
      </c>
      <c r="D449" s="22" t="str">
        <f t="shared" si="62"/>
        <v/>
      </c>
      <c r="E449" s="22" t="str">
        <f t="shared" si="63"/>
        <v/>
      </c>
      <c r="F449" s="23" t="str">
        <f t="shared" si="64"/>
        <v/>
      </c>
      <c r="G449" s="24" t="str">
        <f t="shared" si="65"/>
        <v/>
      </c>
      <c r="H449" s="25" t="str">
        <f ca="1" t="shared" si="66"/>
        <v/>
      </c>
      <c r="I449" s="26"/>
    </row>
    <row r="450" ht="36" customHeight="1" spans="1:9">
      <c r="A450" s="19"/>
      <c r="B450" s="20" t="str">
        <f t="shared" si="61"/>
        <v/>
      </c>
      <c r="C450" s="21" t="str">
        <f t="shared" si="67"/>
        <v>[]</v>
      </c>
      <c r="D450" s="22" t="str">
        <f t="shared" si="62"/>
        <v/>
      </c>
      <c r="E450" s="22" t="str">
        <f t="shared" si="63"/>
        <v/>
      </c>
      <c r="F450" s="23" t="str">
        <f t="shared" si="64"/>
        <v/>
      </c>
      <c r="G450" s="24" t="str">
        <f t="shared" si="65"/>
        <v/>
      </c>
      <c r="H450" s="25" t="str">
        <f ca="1" t="shared" si="66"/>
        <v/>
      </c>
      <c r="I450" s="26"/>
    </row>
    <row r="451" ht="36" customHeight="1" spans="1:9">
      <c r="A451" s="19"/>
      <c r="B451" s="20" t="str">
        <f t="shared" si="61"/>
        <v/>
      </c>
      <c r="C451" s="21" t="str">
        <f t="shared" si="67"/>
        <v>[]</v>
      </c>
      <c r="D451" s="22" t="str">
        <f t="shared" si="62"/>
        <v/>
      </c>
      <c r="E451" s="22" t="str">
        <f t="shared" si="63"/>
        <v/>
      </c>
      <c r="F451" s="23" t="str">
        <f t="shared" si="64"/>
        <v/>
      </c>
      <c r="G451" s="24" t="str">
        <f t="shared" si="65"/>
        <v/>
      </c>
      <c r="H451" s="25" t="str">
        <f ca="1" t="shared" si="66"/>
        <v/>
      </c>
      <c r="I451" s="26"/>
    </row>
    <row r="452" ht="36" customHeight="1" spans="1:9">
      <c r="A452" s="19"/>
      <c r="B452" s="20" t="str">
        <f t="shared" si="61"/>
        <v/>
      </c>
      <c r="C452" s="21" t="str">
        <f t="shared" si="67"/>
        <v>[]</v>
      </c>
      <c r="D452" s="22" t="str">
        <f t="shared" si="62"/>
        <v/>
      </c>
      <c r="E452" s="22" t="str">
        <f t="shared" si="63"/>
        <v/>
      </c>
      <c r="F452" s="23" t="str">
        <f t="shared" si="64"/>
        <v/>
      </c>
      <c r="G452" s="24" t="str">
        <f t="shared" si="65"/>
        <v/>
      </c>
      <c r="H452" s="25" t="str">
        <f ca="1" t="shared" si="66"/>
        <v/>
      </c>
      <c r="I452" s="26"/>
    </row>
    <row r="453" ht="36" customHeight="1" spans="1:9">
      <c r="A453" s="19"/>
      <c r="B453" s="20" t="str">
        <f t="shared" si="61"/>
        <v/>
      </c>
      <c r="C453" s="21" t="str">
        <f t="shared" si="67"/>
        <v>[]</v>
      </c>
      <c r="D453" s="22" t="str">
        <f t="shared" si="62"/>
        <v/>
      </c>
      <c r="E453" s="22" t="str">
        <f t="shared" si="63"/>
        <v/>
      </c>
      <c r="F453" s="23" t="str">
        <f t="shared" si="64"/>
        <v/>
      </c>
      <c r="G453" s="24" t="str">
        <f t="shared" si="65"/>
        <v/>
      </c>
      <c r="H453" s="25" t="str">
        <f ca="1" t="shared" si="66"/>
        <v/>
      </c>
      <c r="I453" s="26"/>
    </row>
    <row r="454" ht="36" customHeight="1" spans="1:9">
      <c r="A454" s="19"/>
      <c r="B454" s="20" t="str">
        <f t="shared" si="61"/>
        <v/>
      </c>
      <c r="C454" s="21" t="str">
        <f t="shared" si="67"/>
        <v>[]</v>
      </c>
      <c r="D454" s="22" t="str">
        <f t="shared" si="62"/>
        <v/>
      </c>
      <c r="E454" s="22" t="str">
        <f t="shared" si="63"/>
        <v/>
      </c>
      <c r="F454" s="23" t="str">
        <f t="shared" si="64"/>
        <v/>
      </c>
      <c r="G454" s="24" t="str">
        <f t="shared" si="65"/>
        <v/>
      </c>
      <c r="H454" s="25" t="str">
        <f ca="1" t="shared" si="66"/>
        <v/>
      </c>
      <c r="I454" s="26"/>
    </row>
    <row r="455" ht="36" customHeight="1" spans="1:9">
      <c r="A455" s="19"/>
      <c r="B455" s="20" t="str">
        <f t="shared" si="61"/>
        <v/>
      </c>
      <c r="C455" s="21" t="str">
        <f t="shared" si="67"/>
        <v>[]</v>
      </c>
      <c r="D455" s="22" t="str">
        <f t="shared" si="62"/>
        <v/>
      </c>
      <c r="E455" s="22" t="str">
        <f t="shared" si="63"/>
        <v/>
      </c>
      <c r="F455" s="23" t="str">
        <f t="shared" si="64"/>
        <v/>
      </c>
      <c r="G455" s="24" t="str">
        <f t="shared" si="65"/>
        <v/>
      </c>
      <c r="H455" s="25" t="str">
        <f ca="1" t="shared" si="66"/>
        <v/>
      </c>
      <c r="I455" s="26"/>
    </row>
    <row r="456" ht="36" customHeight="1" spans="1:9">
      <c r="A456" s="19"/>
      <c r="B456" s="20" t="str">
        <f t="shared" si="61"/>
        <v/>
      </c>
      <c r="C456" s="21" t="str">
        <f t="shared" si="67"/>
        <v>[]</v>
      </c>
      <c r="D456" s="22" t="str">
        <f t="shared" si="62"/>
        <v/>
      </c>
      <c r="E456" s="22" t="str">
        <f t="shared" si="63"/>
        <v/>
      </c>
      <c r="F456" s="23" t="str">
        <f t="shared" si="64"/>
        <v/>
      </c>
      <c r="G456" s="24" t="str">
        <f t="shared" si="65"/>
        <v/>
      </c>
      <c r="H456" s="25" t="str">
        <f ca="1" t="shared" si="66"/>
        <v/>
      </c>
      <c r="I456" s="26"/>
    </row>
    <row r="457" ht="36" customHeight="1" spans="1:9">
      <c r="A457" s="19"/>
      <c r="B457" s="20" t="str">
        <f t="shared" si="61"/>
        <v/>
      </c>
      <c r="C457" s="21" t="str">
        <f t="shared" si="67"/>
        <v>[]</v>
      </c>
      <c r="D457" s="22" t="str">
        <f t="shared" si="62"/>
        <v/>
      </c>
      <c r="E457" s="22" t="str">
        <f t="shared" si="63"/>
        <v/>
      </c>
      <c r="F457" s="23" t="str">
        <f t="shared" si="64"/>
        <v/>
      </c>
      <c r="G457" s="24" t="str">
        <f t="shared" si="65"/>
        <v/>
      </c>
      <c r="H457" s="25" t="str">
        <f ca="1" t="shared" si="66"/>
        <v/>
      </c>
      <c r="I457" s="26"/>
    </row>
    <row r="458" ht="36" customHeight="1" spans="1:9">
      <c r="A458" s="19"/>
      <c r="B458" s="20" t="str">
        <f t="shared" si="61"/>
        <v/>
      </c>
      <c r="C458" s="21" t="str">
        <f t="shared" si="67"/>
        <v>[]</v>
      </c>
      <c r="D458" s="22" t="str">
        <f t="shared" si="62"/>
        <v/>
      </c>
      <c r="E458" s="22" t="str">
        <f t="shared" si="63"/>
        <v/>
      </c>
      <c r="F458" s="23" t="str">
        <f t="shared" si="64"/>
        <v/>
      </c>
      <c r="G458" s="24" t="str">
        <f t="shared" si="65"/>
        <v/>
      </c>
      <c r="H458" s="25" t="str">
        <f ca="1" t="shared" si="66"/>
        <v/>
      </c>
      <c r="I458" s="26"/>
    </row>
    <row r="459" ht="36" customHeight="1" spans="1:9">
      <c r="A459" s="19"/>
      <c r="B459" s="20" t="str">
        <f t="shared" si="61"/>
        <v/>
      </c>
      <c r="C459" s="21" t="str">
        <f t="shared" si="67"/>
        <v>[]</v>
      </c>
      <c r="D459" s="22" t="str">
        <f t="shared" si="62"/>
        <v/>
      </c>
      <c r="E459" s="22" t="str">
        <f t="shared" si="63"/>
        <v/>
      </c>
      <c r="F459" s="23" t="str">
        <f t="shared" si="64"/>
        <v/>
      </c>
      <c r="G459" s="24" t="str">
        <f t="shared" si="65"/>
        <v/>
      </c>
      <c r="H459" s="25" t="str">
        <f ca="1" t="shared" si="66"/>
        <v/>
      </c>
      <c r="I459" s="26"/>
    </row>
    <row r="460" ht="36" customHeight="1" spans="1:9">
      <c r="A460" s="19"/>
      <c r="B460" s="20" t="str">
        <f t="shared" si="61"/>
        <v/>
      </c>
      <c r="C460" s="21" t="str">
        <f t="shared" si="67"/>
        <v>[]</v>
      </c>
      <c r="D460" s="22" t="str">
        <f t="shared" si="62"/>
        <v/>
      </c>
      <c r="E460" s="22" t="str">
        <f t="shared" si="63"/>
        <v/>
      </c>
      <c r="F460" s="23" t="str">
        <f t="shared" si="64"/>
        <v/>
      </c>
      <c r="G460" s="24" t="str">
        <f t="shared" si="65"/>
        <v/>
      </c>
      <c r="H460" s="25" t="str">
        <f ca="1" t="shared" si="66"/>
        <v/>
      </c>
      <c r="I460" s="26"/>
    </row>
    <row r="461" ht="36" customHeight="1" spans="1:9">
      <c r="A461" s="19"/>
      <c r="B461" s="20" t="str">
        <f t="shared" si="61"/>
        <v/>
      </c>
      <c r="C461" s="21" t="str">
        <f t="shared" si="67"/>
        <v>[]</v>
      </c>
      <c r="D461" s="22" t="str">
        <f t="shared" si="62"/>
        <v/>
      </c>
      <c r="E461" s="22" t="str">
        <f t="shared" si="63"/>
        <v/>
      </c>
      <c r="F461" s="23" t="str">
        <f t="shared" si="64"/>
        <v/>
      </c>
      <c r="G461" s="24" t="str">
        <f t="shared" si="65"/>
        <v/>
      </c>
      <c r="H461" s="25" t="str">
        <f ca="1" t="shared" si="66"/>
        <v/>
      </c>
      <c r="I461" s="26"/>
    </row>
    <row r="462" ht="36" customHeight="1" spans="1:9">
      <c r="A462" s="19"/>
      <c r="B462" s="20" t="str">
        <f t="shared" si="61"/>
        <v/>
      </c>
      <c r="C462" s="21" t="str">
        <f t="shared" si="67"/>
        <v>[]</v>
      </c>
      <c r="D462" s="22" t="str">
        <f t="shared" si="62"/>
        <v/>
      </c>
      <c r="E462" s="22" t="str">
        <f t="shared" si="63"/>
        <v/>
      </c>
      <c r="F462" s="23" t="str">
        <f t="shared" si="64"/>
        <v/>
      </c>
      <c r="G462" s="24" t="str">
        <f t="shared" si="65"/>
        <v/>
      </c>
      <c r="H462" s="25" t="str">
        <f ca="1" t="shared" si="66"/>
        <v/>
      </c>
      <c r="I462" s="26"/>
    </row>
    <row r="463" ht="36" customHeight="1" spans="1:9">
      <c r="A463" s="19"/>
      <c r="B463" s="20" t="str">
        <f t="shared" si="61"/>
        <v/>
      </c>
      <c r="C463" s="21" t="str">
        <f t="shared" si="67"/>
        <v>[]</v>
      </c>
      <c r="D463" s="22" t="str">
        <f t="shared" si="62"/>
        <v/>
      </c>
      <c r="E463" s="22" t="str">
        <f t="shared" si="63"/>
        <v/>
      </c>
      <c r="F463" s="23" t="str">
        <f t="shared" si="64"/>
        <v/>
      </c>
      <c r="G463" s="24" t="str">
        <f t="shared" si="65"/>
        <v/>
      </c>
      <c r="H463" s="25" t="str">
        <f ca="1" t="shared" si="66"/>
        <v/>
      </c>
      <c r="I463" s="26"/>
    </row>
    <row r="464" ht="36" customHeight="1" spans="1:9">
      <c r="A464" s="19"/>
      <c r="B464" s="20" t="str">
        <f t="shared" si="61"/>
        <v/>
      </c>
      <c r="C464" s="21" t="str">
        <f t="shared" si="67"/>
        <v>[]</v>
      </c>
      <c r="D464" s="22" t="str">
        <f t="shared" si="62"/>
        <v/>
      </c>
      <c r="E464" s="22" t="str">
        <f t="shared" si="63"/>
        <v/>
      </c>
      <c r="F464" s="23" t="str">
        <f t="shared" si="64"/>
        <v/>
      </c>
      <c r="G464" s="24" t="str">
        <f t="shared" si="65"/>
        <v/>
      </c>
      <c r="H464" s="25" t="str">
        <f ca="1" t="shared" si="66"/>
        <v/>
      </c>
      <c r="I464" s="26"/>
    </row>
    <row r="465" ht="36" customHeight="1" spans="1:9">
      <c r="A465" s="19"/>
      <c r="B465" s="20" t="str">
        <f t="shared" si="61"/>
        <v/>
      </c>
      <c r="C465" s="21" t="str">
        <f t="shared" si="67"/>
        <v>[]</v>
      </c>
      <c r="D465" s="22" t="str">
        <f t="shared" si="62"/>
        <v/>
      </c>
      <c r="E465" s="22" t="str">
        <f t="shared" si="63"/>
        <v/>
      </c>
      <c r="F465" s="23" t="str">
        <f t="shared" si="64"/>
        <v/>
      </c>
      <c r="G465" s="24" t="str">
        <f t="shared" si="65"/>
        <v/>
      </c>
      <c r="H465" s="25" t="str">
        <f ca="1" t="shared" si="66"/>
        <v/>
      </c>
      <c r="I465" s="26"/>
    </row>
    <row r="466" ht="36" customHeight="1" spans="1:9">
      <c r="A466" s="19"/>
      <c r="B466" s="20" t="str">
        <f t="shared" si="61"/>
        <v/>
      </c>
      <c r="C466" s="21" t="str">
        <f t="shared" si="67"/>
        <v>[]</v>
      </c>
      <c r="D466" s="22" t="str">
        <f t="shared" si="62"/>
        <v/>
      </c>
      <c r="E466" s="22" t="str">
        <f t="shared" si="63"/>
        <v/>
      </c>
      <c r="F466" s="23" t="str">
        <f t="shared" si="64"/>
        <v/>
      </c>
      <c r="G466" s="24" t="str">
        <f t="shared" si="65"/>
        <v/>
      </c>
      <c r="H466" s="25" t="str">
        <f ca="1" t="shared" si="66"/>
        <v/>
      </c>
      <c r="I466" s="26"/>
    </row>
    <row r="467" ht="36" customHeight="1" spans="1:9">
      <c r="A467" s="19"/>
      <c r="B467" s="20" t="str">
        <f t="shared" si="61"/>
        <v/>
      </c>
      <c r="C467" s="21" t="str">
        <f t="shared" si="67"/>
        <v>[]</v>
      </c>
      <c r="D467" s="22" t="str">
        <f t="shared" si="62"/>
        <v/>
      </c>
      <c r="E467" s="22" t="str">
        <f t="shared" si="63"/>
        <v/>
      </c>
      <c r="F467" s="23" t="str">
        <f t="shared" si="64"/>
        <v/>
      </c>
      <c r="G467" s="24" t="str">
        <f t="shared" si="65"/>
        <v/>
      </c>
      <c r="H467" s="25" t="str">
        <f ca="1" t="shared" si="66"/>
        <v/>
      </c>
      <c r="I467" s="26"/>
    </row>
    <row r="468" ht="36" customHeight="1" spans="1:9">
      <c r="A468" s="19"/>
      <c r="B468" s="20" t="str">
        <f t="shared" si="61"/>
        <v/>
      </c>
      <c r="C468" s="21" t="str">
        <f t="shared" si="67"/>
        <v>[]</v>
      </c>
      <c r="D468" s="22" t="str">
        <f t="shared" si="62"/>
        <v/>
      </c>
      <c r="E468" s="22" t="str">
        <f t="shared" si="63"/>
        <v/>
      </c>
      <c r="F468" s="23" t="str">
        <f t="shared" si="64"/>
        <v/>
      </c>
      <c r="G468" s="24" t="str">
        <f t="shared" si="65"/>
        <v/>
      </c>
      <c r="H468" s="25" t="str">
        <f ca="1" t="shared" si="66"/>
        <v/>
      </c>
      <c r="I468" s="26"/>
    </row>
    <row r="469" ht="36" customHeight="1" spans="1:9">
      <c r="A469" s="19"/>
      <c r="B469" s="20" t="str">
        <f t="shared" si="61"/>
        <v/>
      </c>
      <c r="C469" s="21" t="str">
        <f t="shared" si="67"/>
        <v>[]</v>
      </c>
      <c r="D469" s="22" t="str">
        <f t="shared" si="62"/>
        <v/>
      </c>
      <c r="E469" s="22" t="str">
        <f t="shared" si="63"/>
        <v/>
      </c>
      <c r="F469" s="23" t="str">
        <f t="shared" si="64"/>
        <v/>
      </c>
      <c r="G469" s="24" t="str">
        <f t="shared" si="65"/>
        <v/>
      </c>
      <c r="H469" s="25" t="str">
        <f ca="1" t="shared" si="66"/>
        <v/>
      </c>
      <c r="I469" s="26"/>
    </row>
    <row r="470" ht="36" customHeight="1" spans="1:9">
      <c r="A470" s="19"/>
      <c r="B470" s="20" t="str">
        <f t="shared" si="61"/>
        <v/>
      </c>
      <c r="C470" s="21" t="str">
        <f t="shared" si="67"/>
        <v>[]</v>
      </c>
      <c r="D470" s="22" t="str">
        <f t="shared" si="62"/>
        <v/>
      </c>
      <c r="E470" s="22" t="str">
        <f t="shared" si="63"/>
        <v/>
      </c>
      <c r="F470" s="23" t="str">
        <f t="shared" si="64"/>
        <v/>
      </c>
      <c r="G470" s="24" t="str">
        <f t="shared" si="65"/>
        <v/>
      </c>
      <c r="H470" s="25" t="str">
        <f ca="1" t="shared" si="66"/>
        <v/>
      </c>
      <c r="I470" s="26"/>
    </row>
    <row r="471" ht="36" customHeight="1" spans="1:9">
      <c r="A471" s="19"/>
      <c r="B471" s="20" t="str">
        <f t="shared" si="61"/>
        <v/>
      </c>
      <c r="C471" s="21" t="str">
        <f t="shared" si="67"/>
        <v>[]</v>
      </c>
      <c r="D471" s="22" t="str">
        <f t="shared" si="62"/>
        <v/>
      </c>
      <c r="E471" s="22" t="str">
        <f t="shared" si="63"/>
        <v/>
      </c>
      <c r="F471" s="23" t="str">
        <f t="shared" si="64"/>
        <v/>
      </c>
      <c r="G471" s="24" t="str">
        <f t="shared" si="65"/>
        <v/>
      </c>
      <c r="H471" s="25" t="str">
        <f ca="1" t="shared" si="66"/>
        <v/>
      </c>
      <c r="I471" s="26"/>
    </row>
    <row r="472" ht="36" customHeight="1" spans="1:9">
      <c r="A472" s="19"/>
      <c r="B472" s="20" t="str">
        <f t="shared" si="61"/>
        <v/>
      </c>
      <c r="C472" s="21" t="str">
        <f t="shared" si="67"/>
        <v>[]</v>
      </c>
      <c r="D472" s="22" t="str">
        <f t="shared" si="62"/>
        <v/>
      </c>
      <c r="E472" s="22" t="str">
        <f t="shared" si="63"/>
        <v/>
      </c>
      <c r="F472" s="23" t="str">
        <f t="shared" si="64"/>
        <v/>
      </c>
      <c r="G472" s="24" t="str">
        <f t="shared" si="65"/>
        <v/>
      </c>
      <c r="H472" s="25" t="str">
        <f ca="1" t="shared" si="66"/>
        <v/>
      </c>
      <c r="I472" s="26"/>
    </row>
    <row r="473" ht="36" customHeight="1" spans="1:9">
      <c r="A473" s="19"/>
      <c r="B473" s="20" t="str">
        <f t="shared" si="61"/>
        <v/>
      </c>
      <c r="C473" s="21" t="str">
        <f t="shared" si="67"/>
        <v>[]</v>
      </c>
      <c r="D473" s="22" t="str">
        <f t="shared" si="62"/>
        <v/>
      </c>
      <c r="E473" s="22" t="str">
        <f t="shared" si="63"/>
        <v/>
      </c>
      <c r="F473" s="23" t="str">
        <f t="shared" si="64"/>
        <v/>
      </c>
      <c r="G473" s="24" t="str">
        <f t="shared" si="65"/>
        <v/>
      </c>
      <c r="H473" s="25" t="str">
        <f ca="1" t="shared" si="66"/>
        <v/>
      </c>
      <c r="I473" s="26"/>
    </row>
    <row r="474" ht="36" customHeight="1" spans="1:9">
      <c r="A474" s="19"/>
      <c r="B474" s="20" t="str">
        <f t="shared" si="61"/>
        <v/>
      </c>
      <c r="C474" s="21" t="str">
        <f t="shared" si="67"/>
        <v>[]</v>
      </c>
      <c r="D474" s="22" t="str">
        <f t="shared" si="62"/>
        <v/>
      </c>
      <c r="E474" s="22" t="str">
        <f t="shared" si="63"/>
        <v/>
      </c>
      <c r="F474" s="23" t="str">
        <f t="shared" si="64"/>
        <v/>
      </c>
      <c r="G474" s="24" t="str">
        <f t="shared" si="65"/>
        <v/>
      </c>
      <c r="H474" s="25" t="str">
        <f ca="1" t="shared" si="66"/>
        <v/>
      </c>
      <c r="I474" s="26"/>
    </row>
    <row r="475" ht="36" customHeight="1" spans="1:9">
      <c r="A475" s="19"/>
      <c r="B475" s="20" t="str">
        <f t="shared" si="61"/>
        <v/>
      </c>
      <c r="C475" s="21" t="str">
        <f t="shared" si="67"/>
        <v>[]</v>
      </c>
      <c r="D475" s="22" t="str">
        <f t="shared" si="62"/>
        <v/>
      </c>
      <c r="E475" s="22" t="str">
        <f t="shared" si="63"/>
        <v/>
      </c>
      <c r="F475" s="23" t="str">
        <f t="shared" si="64"/>
        <v/>
      </c>
      <c r="G475" s="24" t="str">
        <f t="shared" si="65"/>
        <v/>
      </c>
      <c r="H475" s="25" t="str">
        <f ca="1" t="shared" si="66"/>
        <v/>
      </c>
      <c r="I475" s="26"/>
    </row>
    <row r="476" ht="36" customHeight="1" spans="1:9">
      <c r="A476" s="19"/>
      <c r="B476" s="20" t="str">
        <f t="shared" si="61"/>
        <v/>
      </c>
      <c r="C476" s="21" t="str">
        <f t="shared" si="67"/>
        <v>[]</v>
      </c>
      <c r="D476" s="22" t="str">
        <f t="shared" si="62"/>
        <v/>
      </c>
      <c r="E476" s="22" t="str">
        <f t="shared" si="63"/>
        <v/>
      </c>
      <c r="F476" s="23" t="str">
        <f t="shared" si="64"/>
        <v/>
      </c>
      <c r="G476" s="24" t="str">
        <f t="shared" si="65"/>
        <v/>
      </c>
      <c r="H476" s="25" t="str">
        <f ca="1" t="shared" si="66"/>
        <v/>
      </c>
      <c r="I476" s="26"/>
    </row>
    <row r="477" ht="36" customHeight="1" spans="1:9">
      <c r="A477" s="19"/>
      <c r="B477" s="20" t="str">
        <f t="shared" si="61"/>
        <v/>
      </c>
      <c r="C477" s="21" t="str">
        <f t="shared" si="67"/>
        <v>[]</v>
      </c>
      <c r="D477" s="22" t="str">
        <f t="shared" si="62"/>
        <v/>
      </c>
      <c r="E477" s="22" t="str">
        <f t="shared" si="63"/>
        <v/>
      </c>
      <c r="F477" s="23" t="str">
        <f t="shared" si="64"/>
        <v/>
      </c>
      <c r="G477" s="24" t="str">
        <f t="shared" si="65"/>
        <v/>
      </c>
      <c r="H477" s="25" t="str">
        <f ca="1" t="shared" si="66"/>
        <v/>
      </c>
      <c r="I477" s="26"/>
    </row>
    <row r="478" ht="36" customHeight="1" spans="1:9">
      <c r="A478" s="19"/>
      <c r="B478" s="20" t="str">
        <f t="shared" si="61"/>
        <v/>
      </c>
      <c r="C478" s="21" t="str">
        <f t="shared" si="67"/>
        <v>[]</v>
      </c>
      <c r="D478" s="22" t="str">
        <f t="shared" si="62"/>
        <v/>
      </c>
      <c r="E478" s="22" t="str">
        <f t="shared" si="63"/>
        <v/>
      </c>
      <c r="F478" s="23" t="str">
        <f t="shared" si="64"/>
        <v/>
      </c>
      <c r="G478" s="24" t="str">
        <f t="shared" si="65"/>
        <v/>
      </c>
      <c r="H478" s="25" t="str">
        <f ca="1" t="shared" si="66"/>
        <v/>
      </c>
      <c r="I478" s="26"/>
    </row>
    <row r="479" ht="36" customHeight="1" spans="1:9">
      <c r="A479" s="19"/>
      <c r="B479" s="20" t="str">
        <f t="shared" si="61"/>
        <v/>
      </c>
      <c r="C479" s="21" t="str">
        <f t="shared" si="67"/>
        <v>[]</v>
      </c>
      <c r="D479" s="22" t="str">
        <f t="shared" si="62"/>
        <v/>
      </c>
      <c r="E479" s="22" t="str">
        <f t="shared" si="63"/>
        <v/>
      </c>
      <c r="F479" s="23" t="str">
        <f t="shared" si="64"/>
        <v/>
      </c>
      <c r="G479" s="24" t="str">
        <f t="shared" si="65"/>
        <v/>
      </c>
      <c r="H479" s="25" t="str">
        <f ca="1" t="shared" si="66"/>
        <v/>
      </c>
      <c r="I479" s="26"/>
    </row>
    <row r="480" ht="36" customHeight="1" spans="1:9">
      <c r="A480" s="19"/>
      <c r="B480" s="20" t="str">
        <f t="shared" si="61"/>
        <v/>
      </c>
      <c r="C480" s="21" t="str">
        <f t="shared" si="67"/>
        <v>[]</v>
      </c>
      <c r="D480" s="22" t="str">
        <f t="shared" si="62"/>
        <v/>
      </c>
      <c r="E480" s="22" t="str">
        <f t="shared" si="63"/>
        <v/>
      </c>
      <c r="F480" s="23" t="str">
        <f t="shared" si="64"/>
        <v/>
      </c>
      <c r="G480" s="24" t="str">
        <f t="shared" si="65"/>
        <v/>
      </c>
      <c r="H480" s="25" t="str">
        <f ca="1" t="shared" si="66"/>
        <v/>
      </c>
      <c r="I480" s="26"/>
    </row>
    <row r="481" ht="36" customHeight="1" spans="1:9">
      <c r="A481" s="19"/>
      <c r="B481" s="20" t="str">
        <f t="shared" si="61"/>
        <v/>
      </c>
      <c r="C481" s="21" t="str">
        <f t="shared" si="67"/>
        <v>[]</v>
      </c>
      <c r="D481" s="22" t="str">
        <f t="shared" si="62"/>
        <v/>
      </c>
      <c r="E481" s="22" t="str">
        <f t="shared" si="63"/>
        <v/>
      </c>
      <c r="F481" s="23" t="str">
        <f t="shared" si="64"/>
        <v/>
      </c>
      <c r="G481" s="24" t="str">
        <f t="shared" si="65"/>
        <v/>
      </c>
      <c r="H481" s="25" t="str">
        <f ca="1" t="shared" si="66"/>
        <v/>
      </c>
      <c r="I481" s="26"/>
    </row>
    <row r="482" ht="36" customHeight="1" spans="1:9">
      <c r="A482" s="19"/>
      <c r="B482" s="20" t="str">
        <f t="shared" si="61"/>
        <v/>
      </c>
      <c r="C482" s="21" t="str">
        <f t="shared" si="67"/>
        <v>[]</v>
      </c>
      <c r="D482" s="22" t="str">
        <f t="shared" si="62"/>
        <v/>
      </c>
      <c r="E482" s="22" t="str">
        <f t="shared" si="63"/>
        <v/>
      </c>
      <c r="F482" s="23" t="str">
        <f t="shared" si="64"/>
        <v/>
      </c>
      <c r="G482" s="24" t="str">
        <f t="shared" si="65"/>
        <v/>
      </c>
      <c r="H482" s="25" t="str">
        <f ca="1" t="shared" si="66"/>
        <v/>
      </c>
      <c r="I482" s="26"/>
    </row>
    <row r="483" ht="36" customHeight="1" spans="1:9">
      <c r="A483" s="19"/>
      <c r="B483" s="20" t="str">
        <f t="shared" si="61"/>
        <v/>
      </c>
      <c r="C483" s="21" t="str">
        <f t="shared" si="67"/>
        <v>[]</v>
      </c>
      <c r="D483" s="22" t="str">
        <f t="shared" si="62"/>
        <v/>
      </c>
      <c r="E483" s="22" t="str">
        <f t="shared" si="63"/>
        <v/>
      </c>
      <c r="F483" s="23" t="str">
        <f t="shared" si="64"/>
        <v/>
      </c>
      <c r="G483" s="24" t="str">
        <f t="shared" si="65"/>
        <v/>
      </c>
      <c r="H483" s="25" t="str">
        <f ca="1" t="shared" si="66"/>
        <v/>
      </c>
      <c r="I483" s="26"/>
    </row>
    <row r="484" ht="36" customHeight="1" spans="1:9">
      <c r="A484" s="19"/>
      <c r="B484" s="20" t="str">
        <f t="shared" si="61"/>
        <v/>
      </c>
      <c r="C484" s="21" t="str">
        <f t="shared" si="67"/>
        <v>[]</v>
      </c>
      <c r="D484" s="22" t="str">
        <f t="shared" si="62"/>
        <v/>
      </c>
      <c r="E484" s="22" t="str">
        <f t="shared" si="63"/>
        <v/>
      </c>
      <c r="F484" s="23" t="str">
        <f t="shared" si="64"/>
        <v/>
      </c>
      <c r="G484" s="24" t="str">
        <f t="shared" si="65"/>
        <v/>
      </c>
      <c r="H484" s="25" t="str">
        <f ca="1" t="shared" si="66"/>
        <v/>
      </c>
      <c r="I484" s="26"/>
    </row>
    <row r="485" ht="36" customHeight="1" spans="1:9">
      <c r="A485" s="19"/>
      <c r="B485" s="20" t="str">
        <f t="shared" si="61"/>
        <v/>
      </c>
      <c r="C485" s="21" t="str">
        <f t="shared" si="67"/>
        <v>[]</v>
      </c>
      <c r="D485" s="22" t="str">
        <f t="shared" si="62"/>
        <v/>
      </c>
      <c r="E485" s="22" t="str">
        <f t="shared" si="63"/>
        <v/>
      </c>
      <c r="F485" s="23" t="str">
        <f t="shared" si="64"/>
        <v/>
      </c>
      <c r="G485" s="24" t="str">
        <f t="shared" si="65"/>
        <v/>
      </c>
      <c r="H485" s="25" t="str">
        <f ca="1" t="shared" si="66"/>
        <v/>
      </c>
      <c r="I485" s="26"/>
    </row>
    <row r="486" ht="36" customHeight="1" spans="1:9">
      <c r="A486" s="19"/>
      <c r="B486" s="20" t="str">
        <f t="shared" si="61"/>
        <v/>
      </c>
      <c r="C486" s="21" t="str">
        <f t="shared" si="67"/>
        <v>[]</v>
      </c>
      <c r="D486" s="22" t="str">
        <f t="shared" si="62"/>
        <v/>
      </c>
      <c r="E486" s="22" t="str">
        <f t="shared" si="63"/>
        <v/>
      </c>
      <c r="F486" s="23" t="str">
        <f t="shared" si="64"/>
        <v/>
      </c>
      <c r="G486" s="24" t="str">
        <f t="shared" si="65"/>
        <v/>
      </c>
      <c r="H486" s="25" t="str">
        <f ca="1" t="shared" si="66"/>
        <v/>
      </c>
      <c r="I486" s="26"/>
    </row>
    <row r="487" ht="36" customHeight="1" spans="1:9">
      <c r="A487" s="19"/>
      <c r="B487" s="20" t="str">
        <f t="shared" si="61"/>
        <v/>
      </c>
      <c r="C487" s="21" t="str">
        <f t="shared" si="67"/>
        <v>[]</v>
      </c>
      <c r="D487" s="22" t="str">
        <f t="shared" si="62"/>
        <v/>
      </c>
      <c r="E487" s="22" t="str">
        <f t="shared" si="63"/>
        <v/>
      </c>
      <c r="F487" s="23" t="str">
        <f t="shared" si="64"/>
        <v/>
      </c>
      <c r="G487" s="24" t="str">
        <f t="shared" si="65"/>
        <v/>
      </c>
      <c r="H487" s="25" t="str">
        <f ca="1" t="shared" si="66"/>
        <v/>
      </c>
      <c r="I487" s="26"/>
    </row>
    <row r="488" ht="36" customHeight="1" spans="1:9">
      <c r="A488" s="19"/>
      <c r="B488" s="20" t="str">
        <f t="shared" si="61"/>
        <v/>
      </c>
      <c r="C488" s="21" t="str">
        <f t="shared" si="67"/>
        <v>[]</v>
      </c>
      <c r="D488" s="22" t="str">
        <f t="shared" si="62"/>
        <v/>
      </c>
      <c r="E488" s="22" t="str">
        <f t="shared" si="63"/>
        <v/>
      </c>
      <c r="F488" s="23" t="str">
        <f t="shared" si="64"/>
        <v/>
      </c>
      <c r="G488" s="24" t="str">
        <f t="shared" si="65"/>
        <v/>
      </c>
      <c r="H488" s="25" t="str">
        <f ca="1" t="shared" si="66"/>
        <v/>
      </c>
      <c r="I488" s="26"/>
    </row>
    <row r="489" ht="36" customHeight="1" spans="1:9">
      <c r="A489" s="19"/>
      <c r="B489" s="20" t="str">
        <f t="shared" si="61"/>
        <v/>
      </c>
      <c r="C489" s="21" t="str">
        <f t="shared" si="67"/>
        <v>[]</v>
      </c>
      <c r="D489" s="22" t="str">
        <f t="shared" si="62"/>
        <v/>
      </c>
      <c r="E489" s="22" t="str">
        <f t="shared" si="63"/>
        <v/>
      </c>
      <c r="F489" s="23" t="str">
        <f t="shared" si="64"/>
        <v/>
      </c>
      <c r="G489" s="24" t="str">
        <f t="shared" si="65"/>
        <v/>
      </c>
      <c r="H489" s="25" t="str">
        <f ca="1" t="shared" si="66"/>
        <v/>
      </c>
      <c r="I489" s="26"/>
    </row>
    <row r="490" ht="36" customHeight="1" spans="1:9">
      <c r="A490" s="19"/>
      <c r="B490" s="20" t="str">
        <f t="shared" si="61"/>
        <v/>
      </c>
      <c r="C490" s="21" t="str">
        <f t="shared" si="67"/>
        <v>[]</v>
      </c>
      <c r="D490" s="22" t="str">
        <f t="shared" si="62"/>
        <v/>
      </c>
      <c r="E490" s="22" t="str">
        <f t="shared" si="63"/>
        <v/>
      </c>
      <c r="F490" s="23" t="str">
        <f t="shared" si="64"/>
        <v/>
      </c>
      <c r="G490" s="24" t="str">
        <f t="shared" si="65"/>
        <v/>
      </c>
      <c r="H490" s="25" t="str">
        <f ca="1" t="shared" si="66"/>
        <v/>
      </c>
      <c r="I490" s="26"/>
    </row>
    <row r="491" ht="36" customHeight="1" spans="1:9">
      <c r="B491" s="20" t="str">
        <f t="shared" si="61"/>
        <v/>
      </c>
      <c r="C491" s="21" t="str">
        <f t="shared" ref="C491:C498" si="68">"["&amp;B491&amp;"]"</f>
        <v>[]</v>
      </c>
      <c r="D491" s="22" t="str">
        <f t="shared" ref="D491:D498" si="69">IFERROR(MID(A491,SEARCH("year = {",A491)+8,4),"")</f>
        <v/>
      </c>
      <c r="E491" s="22" t="str">
        <f t="shared" ref="E491:E498" si="70">IFERROR(MID(A491,SEARCH("author = {",A491)+10,SEARCH("}",A491,SEARCH("author = {",A491))-SEARCH("author = {",A491)-10),"")</f>
        <v/>
      </c>
      <c r="F491" s="23" t="str">
        <f t="shared" ref="F491:F498" si="71">IFERROR(MID(A491,SEARCH("title = {",A491)+9,SEARCH("}",A491,SEARCH("title = {",A491))-SEARCH("title = {",A491)-9),"")</f>
        <v/>
      </c>
    </row>
    <row r="492" ht="36" customHeight="1" spans="1:9">
      <c r="B492" s="20" t="str">
        <f t="shared" si="61"/>
        <v/>
      </c>
      <c r="C492" s="21" t="str">
        <f t="shared" si="68"/>
        <v>[]</v>
      </c>
      <c r="D492" s="22" t="str">
        <f t="shared" si="69"/>
        <v/>
      </c>
      <c r="E492" s="22" t="str">
        <f t="shared" si="70"/>
        <v/>
      </c>
      <c r="F492" s="23" t="str">
        <f t="shared" si="71"/>
        <v/>
      </c>
    </row>
    <row r="493" ht="36" customHeight="1" spans="1:9">
      <c r="B493" s="20" t="str">
        <f t="shared" si="61"/>
        <v/>
      </c>
      <c r="C493" s="21" t="str">
        <f t="shared" si="68"/>
        <v>[]</v>
      </c>
      <c r="D493" s="22" t="str">
        <f t="shared" si="69"/>
        <v/>
      </c>
      <c r="E493" s="22" t="str">
        <f t="shared" si="70"/>
        <v/>
      </c>
      <c r="F493" s="23" t="str">
        <f t="shared" si="71"/>
        <v/>
      </c>
    </row>
    <row r="494" ht="36" customHeight="1" spans="1:9">
      <c r="B494" s="20" t="str">
        <f t="shared" si="61"/>
        <v/>
      </c>
      <c r="C494" s="21" t="str">
        <f t="shared" si="68"/>
        <v>[]</v>
      </c>
      <c r="D494" s="22" t="str">
        <f t="shared" si="69"/>
        <v/>
      </c>
      <c r="E494" s="22" t="str">
        <f t="shared" si="70"/>
        <v/>
      </c>
      <c r="F494" s="23" t="str">
        <f t="shared" si="71"/>
        <v/>
      </c>
    </row>
    <row r="495" ht="36" customHeight="1" spans="1:9">
      <c r="B495" s="20" t="str">
        <f t="shared" si="61"/>
        <v/>
      </c>
      <c r="C495" s="21" t="str">
        <f t="shared" si="68"/>
        <v>[]</v>
      </c>
      <c r="D495" s="22" t="str">
        <f t="shared" si="69"/>
        <v/>
      </c>
      <c r="E495" s="22" t="str">
        <f t="shared" si="70"/>
        <v/>
      </c>
      <c r="F495" s="23" t="str">
        <f t="shared" si="71"/>
        <v/>
      </c>
    </row>
    <row r="496" ht="36" customHeight="1" spans="1:9">
      <c r="B496" s="20" t="str">
        <f t="shared" si="61"/>
        <v/>
      </c>
      <c r="C496" s="21" t="str">
        <f t="shared" si="68"/>
        <v>[]</v>
      </c>
      <c r="D496" s="22" t="str">
        <f t="shared" si="69"/>
        <v/>
      </c>
      <c r="E496" s="22" t="str">
        <f t="shared" si="70"/>
        <v/>
      </c>
      <c r="F496" s="23" t="str">
        <f t="shared" si="71"/>
        <v/>
      </c>
    </row>
    <row r="497" ht="36" customHeight="1" spans="2:6">
      <c r="B497" s="20" t="str">
        <f t="shared" si="61"/>
        <v/>
      </c>
      <c r="C497" s="21" t="str">
        <f t="shared" si="68"/>
        <v>[]</v>
      </c>
      <c r="D497" s="22" t="str">
        <f t="shared" si="69"/>
        <v/>
      </c>
      <c r="E497" s="22" t="str">
        <f t="shared" si="70"/>
        <v/>
      </c>
      <c r="F497" s="23" t="str">
        <f t="shared" si="71"/>
        <v/>
      </c>
    </row>
    <row r="498" ht="36" customHeight="1" spans="2:6">
      <c r="B498" s="20" t="str">
        <f t="shared" si="61"/>
        <v/>
      </c>
      <c r="C498" s="21" t="str">
        <f t="shared" si="68"/>
        <v>[]</v>
      </c>
      <c r="D498" s="22" t="str">
        <f t="shared" si="69"/>
        <v/>
      </c>
      <c r="E498" s="22" t="str">
        <f t="shared" si="70"/>
        <v/>
      </c>
      <c r="F498" s="23" t="str">
        <f t="shared" si="71"/>
        <v/>
      </c>
    </row>
  </sheetData>
  <conditionalFormatting sqref="B$1:B$1048576">
    <cfRule type="duplicateValues" dxfId="0" priority="1"/>
  </conditionalFormatting>
  <conditionalFormatting sqref="D11:D148">
    <cfRule type="colorScale" priority="2">
      <colorScale>
        <cfvo type="min"/>
        <cfvo type="max"/>
        <color rgb="FFFFEF9C"/>
        <color rgb="FF63BE7B"/>
      </colorScale>
    </cfRule>
    <cfRule type="colorScale" priority="3">
      <colorScale>
        <cfvo type="min"/>
        <cfvo type="max"/>
        <color rgb="FFFFEF9C"/>
        <color rgb="FF63BE7B"/>
      </colorScale>
    </cfRule>
  </conditionalFormatting>
  <conditionalFormatting sqref="D1:D10;D149:D1048576">
    <cfRule type="colorScale" priority="4">
      <colorScale>
        <cfvo type="min"/>
        <cfvo type="max"/>
        <color rgb="FFFFEF9C"/>
        <color rgb="FF63BE7B"/>
      </colorScale>
    </cfRule>
  </conditionalFormatting>
  <conditionalFormatting sqref="D2:D10;D149:D498">
    <cfRule type="colorScale" priority="5">
      <colorScale>
        <cfvo type="min"/>
        <cfvo type="max"/>
        <color rgb="FFFFEF9C"/>
        <color rgb="FF63BE7B"/>
      </colorScale>
    </cfRule>
  </conditionalFormatting>
  <hyperlinks>
    <hyperlink ref="J5" r:id="rId4" display="https://ennosgermancourse-my.sharepoint.com/:b:/r/personal/enno_winkler_spb-ew_de/Documents/Lehre%20%20So%20Se2026/Modul-08-006-0007/Literatur/Worldviews%20Ev%20Based%20Nurs%20-%202008%20-%20Kelly%20-%20Systematic%20Review%20of%20Multicomponent%20Interventions%20with%20Overweight%20Middle.pdf?csf=1&amp;web=1&amp;e=GKvKKZ"/>
    <hyperlink ref="J6" r:id="rId5" display="https://ennosgermancourse-my.sharepoint.com/:b:/r/personal/enno_winkler_spb-ew_de/Documents/Lehre%20%20So%20Se2026/Modul-08-006-0007/Literatur/HEJ%20Interventions%20paper.pdf?csf=1&amp;web=1&amp;e=T3v8Lv"/>
    <hyperlink ref="J7" r:id="rId6" display="https://ennosgermancourse-my.sharepoint.com/:b:/r/personal/enno_winkler_spb-ew_de/Documents/Lehre%20%20So%20Se2026/Modul-08-006-0007/Literatur/AMSTARS2012.pdf?csf=1&amp;web=1&amp;e=AtTgOr"/>
    <hyperlink ref="J8" r:id="rId7" display="https://ennosgermancourse-my.sharepoint.com/:b:/r/personal/enno_winkler_spb-ew_de/Documents/Lehre%20%20So%20Se2026/Modul-08-006-0007/Literatur/Evidence_from_interventions_based_on_the.pdf?csf=1&amp;web=1&amp;e=mG083W"/>
    <hyperlink ref="J10" r:id="rId8" display="https://ennosgermancourse-my.sharepoint.com/:b:/r/personal/enno_winkler_spb-ew_de/Documents/Lehre%20%20So%20Se2026/Intervention%20Mapping%20I/Literatur/Planning_Health_Promotion_Programs_An_In.pdf?csf=1&amp;web=1&amp;e=r9DZS6"/>
    <hyperlink ref="J30" r:id="rId9" display="https://ennosgermancourse-my.sharepoint.com/:b:/r/personal/enno_winkler_spb-ew_de/Documents/A%20Fernstudium%20Kursmaterial/Bachelorarbeit/Info/LIT/Aktiv%20und%20gesund.pdf?csf=1&amp;web=1&amp;e=cnifhs"/>
    <hyperlink ref="J25" r:id="rId10" display="https://ennosgermancourse-my.sharepoint.com/:b:/r/personal/enno_winkler_spb-ew_de/Documents/A%20Fernstudium%20Kursmaterial/Bachelorarbeit/Info/LIT/Exercise%20Slips%20in%20High-Risk%20Situations%20and%20Activity%20Patterns%20in%20Long-Term%20Exercisers.pdf?csf=1&amp;web=1&amp;e=geTkBC"/>
    <hyperlink ref="J27" r:id="rId11" display="https://ennosgermancourse-my.sharepoint.com/:b:/r/personal/enno_winkler_spb-ew_de/Documents/A%20Fernstudium%20Kursmaterial/Bachelorarbeit/Info/LIT/British%20Journal%20of%20Addiction%20-%20December%201984%20-%20Marlatt%20-%20Relapse%20Prevention%20Introduction%20and%20Overview%20of%20the%20Model.pdf?csf=1&amp;web=1&amp;e=1bgEat"/>
    <hyperlink ref="J32" r:id="rId12" display="https://ennosgermancourse-my.sharepoint.com/:b:/r/personal/enno_winkler_spb-ew_de/Documents/A%20Fernstudium%20Kursmaterial/Bachelorarbeit/Info/LIT/241023Piggin_Definition_PA.pdf?csf=1&amp;web=1&amp;e=InYJdt"/>
    <hyperlink ref="J36" r:id="rId13" display="https://ennosgermancourse-my.sharepoint.com/:b:/r/personal/enno_winkler_spb-ew_de/Documents/A%20Fernstudium%20Kursmaterial/Bachelorarbeit/Info/LIT/Exercise%20Adherence.pdf?csf=1&amp;web=1&amp;e=tPkspJ"/>
    <hyperlink ref="J39" r:id="rId14" display="https://ennosgermancourse-my.sharepoint.com/:b:/r/personal/enno_winkler_spb-ew_de/Documents/A%20Fernstudium%20Kursmaterial/Bachelorarbeit/Info/LIT/Lancet_burden_Phys_inactiv.pdf?csf=1&amp;web=1&amp;e=BW1gbV"/>
    <hyperlink ref="J40" r:id="rId15" display="https://ennosgermancourse-my.sharepoint.com/:b:/r/personal/enno_winkler_spb-ew_de/Documents/A%20Fernstudium%20Kursmaterial/Bachelorarbeit/Info/LIT/1-s2.0-S0002934304006229-main.pdf?csf=1&amp;web=1&amp;e=gGgROh"/>
    <hyperlink ref="J41" r:id="rId16" display="https://ennosgermancourse-my.sharepoint.com/:b:/r/personal/enno_winkler_spb-ew_de/Documents/A%20Fernstudium%20Kursmaterial/Bachelorarbeit/Info/LIT/PIIS0140673612610319.pdf?csf=1&amp;web=1&amp;e=veeVmS"/>
    <hyperlink ref="J42" r:id="rId17" display="https://ennosgermancourse-my.sharepoint.com/:b:/r/personal/enno_winkler_spb-ew_de/Documents/A%20Fernstudium%20Kursmaterial/Bachelorarbeit/Info/LIT/00007256-200029030-00003.pdf?csf=1&amp;web=1&amp;e=RdUDtc"/>
    <hyperlink ref="J13" r:id="rId18" display="https://ennosgermancourse-my.sharepoint.com/:b:/r/personal/enno_winkler_spb-ew_de/Documents/A%20Fernstudium%20Kursmaterial/Bachelorarbeit/Info/LIT/Attribution%20Questionnaire.pdf?csf=1&amp;web=1&amp;e=2zOMdl"/>
    <hyperlink ref="J64" r:id="rId19" display="https://ennosgermancourse-my.sharepoint.com/:b:/r/personal/enno_winkler_spb-ew_de/Documents/A%20Fernstudium%20Kursmaterial/Bachelorarbeit/Info/LIT/Ledochowski_PA_depression.pdf?csf=1&amp;web=1&amp;e=wkbseE"/>
    <hyperlink ref="J66" r:id="rId20" display="https://ennosgermancourse-my.sharepoint.com/:b:/r/personal/enno_winkler_spb-ew_de/Documents/A%20Fernstudium%20Kursmaterial/Bachelorarbeit/Info/LIT/Depression%20and%20Anxiety%20-%202018%20-%20Morres%20-%20Aerobic%20exercise%20for%20adult%20patients%20with%20major%20depressive%20disorder%20in%20mental.pdf?csf=1&amp;web=1&amp;e=Ov2lg8"/>
    <hyperlink ref="J76" r:id="rId21" display="https://ennosgermancourse-my.sharepoint.com/:b:/g/personal/enno_winkler_spb-ew_de/EQz0TsXSstJKkYw3F5QQ8noBByLZAN4-s6QmJOBy8AFcwg?e=0wr7S9"/>
    <hyperlink ref="J78" r:id="rId22" display="https://ennosgermancourse-my.sharepoint.com/:b:/g/personal/enno_winkler_spb-ew_de/EQMKoPfQZ-hJmo4lCzT6dugB9IWXdjF6o-NRyqG_bgK-HQ?e=f9LIKl"/>
    <hyperlink ref="J80" r:id="rId23" display="https://ennosgermancourse-my.sharepoint.com/:b:/g/personal/enno_winkler_spb-ew_de/EVGoXOaFwPNGuuIT4dYtTP0Bn3_gMq3U94F-j3XpMlFEIg?e=Dgp0Eq"/>
    <hyperlink ref="J81" r:id="rId24" display="https://ennosgermancourse-my.sharepoint.com/:b:/g/personal/enno_winkler_spb-ew_de/EdvAe5ifSExLhaatxzEj1eIBakef006lDOwyfJEp-4kH4w?e=g4Oh2D"/>
    <hyperlink ref="J89" r:id="rId25" display="https://ennosgermancourse-my.sharepoint.com/:b:/g/personal/enno_winkler_spb-ew_de/EdoC3U2nqsFOmwa6Rw91gh4BAiSfT3mOwPBrIJ22u3ZVag?e=NHL8gN"/>
    <hyperlink ref="J108" r:id="rId26" display="https://ennosgermancourse-my.sharepoint.com/:b:/r/personal/enno_winkler_spb-ew_de/Documents/A%20Fernstudium%20Kursmaterial/Bachelorarbeit/Info/LIT/williams2016AffectAdherence.pdf?csf=1&amp;web=1&amp;e=loKHhl"/>
    <hyperlink ref="J110" r:id="rId27" display="https://ennosgermancourse-my.sharepoint.com/:b:/r/personal/enno_winkler_spb-ew_de/Documents/A%20Fernstudium%20Kursmaterial/Bachelorarbeit/Info/LIT/Affect_PA_conceptualFramework.pdf?csf=1&amp;web=1&amp;e=23HP8T"/>
    <hyperlink ref="J17" r:id="rId28" display="https://ennosgermancourse-my.sharepoint.com/:b:/r/personal/enno_winkler_spb-ew_de/Documents/A%20Fernstudium%20Kursmaterial/Bachelorarbeit/Info/LIT/Determinants%20of%20physical%20activity%20maintenance%20a%20systematic%20review%20and%20meta-analyses.pdf?csf=1&amp;web=1&amp;e=Jjhfg9"/>
    <hyperlink ref="J4" r:id="rId29" display="https://ennosgermancourse-my.sharepoint.com/:b:/r/personal/enno_winkler_spb-ew_de/Documents/Lehre%20%20So%20Se2026/Modul-08-006-0007/Literatur/What%20works%20healthy%20eating%20and%20activity%20community%20based.pdf?csf=1&amp;web=1&amp;e=sCzZfE"/>
    <hyperlink ref="J149" r:id="rId30" display="https://ennosgermancourse-my.sharepoint.com/:b:/r/personal/enno_winkler_spb-ew_de/Documents/Lehre%20%20So%20Se2026/Modul-08-006-0007/Literatur/Svendsen2022selfBACK.pdf?csf=1&amp;web=1&amp;e=cCrbwL"/>
    <hyperlink ref="J150" r:id="rId31" display="https://ennosgermancourse-my.sharepoint.com/:b:/r/personal/enno_winkler_spb-ew_de/Documents/Lehre%20%20So%20Se2026/Modul-08-006-0007/Literatur/CohenPower.pdf?csf=1&amp;web=1&amp;e=IJbnrE"/>
    <hyperlink ref="J151" r:id="rId32" display="https://ennosgermancourse-my.sharepoint.com/:b:/r/personal/enno_winkler_spb-ew_de/Documents/Lehre%20%20So%20Se2026/Modul-08-006-0007/Literatur/Multiculturalism%20and%20Diversity%20-%202009%20-%20Lott%20-%20Introduction.pdf?csf=1&amp;web=1&amp;e=gzpTOA"/>
    <hyperlink ref="M151" r:id="rId33" display="https://ennosgermancourse-my.sharepoint.com/:b:/r/personal/enno_winkler_spb-ew_de/Documents/Lehre%20%20So%20Se2026/Modul-08-006-0007/Literatur/Multiculturalism%20and%20Diversity%20-%202009%20-%20Lott%20-%20Culture.pdf?csf=1&amp;web=1&amp;e=1oMdAS" tooltip="https://ennosgermancourse-my.sharepoint.com/:b:/r/personal/enno_winkler_spb-ew_de/Documents/Lehre%20%20So%20Se2026/Modul-08-006-0007/Literatur/Multiculturalism%20and%20Diversity%20-%202009%20-%20Lott%20-%20Culture.pdf?csf=1&amp;web=1&amp;e=1oMdAS"/>
    <hyperlink ref="J157" r:id="rId34" display="https://ennosgermancourse-my.sharepoint.com/:b:/r/personal/enno_winkler_spb-ew_de/Documents/Lehre%20%20So%20Se2026/Modul-08-006-0007/Literatur/Revision%20Hofstede.pdf?csf=1&amp;web=1&amp;e=7MaQTc"/>
    <hyperlink ref="J162" r:id="rId35" display="https://ennosgermancourse-my.sharepoint.com/:b:/g/personal/enno_winkler_spb-ew_de/IQDquCxAkp3bQYRg-HAJfFt7AQj1N0o2C44jv87EZavx6MY?e=faR0Rg"/>
  </hyperlinks>
  <pageMargins left="0.7" right="0.7" top="0.787401575" bottom="0.787401575" header="0.3" footer="0.3"/>
  <pageSetup paperSize="9" orientation="portrait" horizontalDpi="300" verticalDpi="300"/>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workbookViewId="0">
      <selection activeCell="N10" sqref="N10"/>
    </sheetView>
  </sheetViews>
  <sheetFormatPr defaultColWidth="11.4285714285714" defaultRowHeight="15" outlineLevelCol="2"/>
  <cols>
    <col min="1" max="1" width="88.8571428571429" customWidth="1"/>
    <col min="2" max="2" width="68.7142857142857" customWidth="1"/>
    <col min="3" max="3" width="27.1428571428571" customWidth="1"/>
  </cols>
  <sheetData>
    <row r="1" ht="47.25" customHeight="1" spans="1:3">
      <c r="A1" s="1" t="s">
        <v>253</v>
      </c>
      <c r="B1" s="1"/>
    </row>
    <row r="2" ht="72.75" customHeight="1" spans="1:3">
      <c r="A2" s="2" t="s">
        <v>254</v>
      </c>
      <c r="B2" s="3"/>
    </row>
    <row r="3" spans="1:3">
      <c r="A3" s="4" t="s">
        <v>255</v>
      </c>
      <c r="B3" s="4"/>
    </row>
    <row r="4" spans="1:3">
      <c r="A4" s="5" t="s">
        <v>256</v>
      </c>
      <c r="B4" s="6" t="s">
        <v>257</v>
      </c>
    </row>
    <row r="5" ht="180" customHeight="1" spans="1:3">
      <c r="A5" s="7" t="s">
        <v>258</v>
      </c>
      <c r="B5" s="7" t="s">
        <v>259</v>
      </c>
    </row>
    <row r="6" ht="210" customHeight="1" spans="1:3">
      <c r="A6" s="7" t="s">
        <v>260</v>
      </c>
      <c r="B6" s="7" t="s">
        <v>261</v>
      </c>
      <c r="C6" s="6" t="s">
        <v>262</v>
      </c>
    </row>
    <row r="7" ht="210" customHeight="1" spans="1:3">
      <c r="A7" s="7" t="s">
        <v>263</v>
      </c>
      <c r="B7" s="7" t="s">
        <v>264</v>
      </c>
      <c r="C7" s="6" t="s">
        <v>265</v>
      </c>
    </row>
    <row r="8" ht="150" customHeight="1" spans="1:3">
      <c r="A8" s="7" t="s">
        <v>266</v>
      </c>
      <c r="B8" s="7" t="s">
        <v>267</v>
      </c>
      <c r="C8" s="6" t="s">
        <v>268</v>
      </c>
    </row>
    <row r="9" ht="255" customHeight="1" spans="1:3">
      <c r="A9" s="7" t="s">
        <v>269</v>
      </c>
      <c r="B9" s="7" t="s">
        <v>270</v>
      </c>
    </row>
    <row r="10" ht="255" customHeight="1" spans="1:3">
      <c r="A10" s="7" t="s">
        <v>271</v>
      </c>
      <c r="B10" s="7" t="s">
        <v>272</v>
      </c>
      <c r="C10" s="6" t="s">
        <v>273</v>
      </c>
    </row>
    <row r="11" ht="285" customHeight="1" spans="1:3">
      <c r="A11" s="7" t="s">
        <v>274</v>
      </c>
      <c r="B11" s="7" t="s">
        <v>275</v>
      </c>
      <c r="C11" s="6" t="s">
        <v>276</v>
      </c>
    </row>
    <row r="12" ht="285" customHeight="1" spans="1:3">
      <c r="A12" s="7" t="s">
        <v>277</v>
      </c>
      <c r="B12" s="7" t="s">
        <v>278</v>
      </c>
    </row>
    <row r="13" ht="255" customHeight="1" spans="1:3">
      <c r="A13" s="7" t="s">
        <v>279</v>
      </c>
      <c r="B13" s="7" t="s">
        <v>280</v>
      </c>
    </row>
    <row r="14" ht="165" customHeight="1" spans="1:3">
      <c r="A14" s="7" t="s">
        <v>281</v>
      </c>
      <c r="B14" s="7" t="s">
        <v>282</v>
      </c>
    </row>
    <row r="15" ht="165" customHeight="1" spans="1:3">
      <c r="A15" s="7" t="s">
        <v>283</v>
      </c>
      <c r="B15" s="7" t="s">
        <v>284</v>
      </c>
    </row>
    <row r="16" ht="165" customHeight="1" spans="1:3">
      <c r="A16" s="7" t="s">
        <v>285</v>
      </c>
      <c r="B16" s="7" t="s">
        <v>286</v>
      </c>
    </row>
    <row r="17" ht="225" customHeight="1" spans="1:3">
      <c r="A17" s="7" t="s">
        <v>287</v>
      </c>
      <c r="B17" s="7" t="s">
        <v>288</v>
      </c>
    </row>
    <row r="18" ht="180" customHeight="1" spans="1:3">
      <c r="A18" s="7" t="s">
        <v>289</v>
      </c>
      <c r="B18" s="7" t="s">
        <v>290</v>
      </c>
    </row>
    <row r="19" ht="105" customHeight="1" spans="1:3">
      <c r="A19" s="7" t="s">
        <v>291</v>
      </c>
      <c r="C19" s="6" t="s">
        <v>292</v>
      </c>
    </row>
    <row r="20" ht="120" customHeight="1" spans="1:3">
      <c r="A20" s="7" t="s">
        <v>293</v>
      </c>
      <c r="B20" s="7" t="s">
        <v>294</v>
      </c>
    </row>
    <row r="21" ht="135" customHeight="1" spans="1:3">
      <c r="A21" s="7" t="s">
        <v>295</v>
      </c>
    </row>
  </sheetData>
  <mergeCells count="3">
    <mergeCell ref="A1:B1"/>
    <mergeCell ref="A2:B2"/>
    <mergeCell ref="A3:B3"/>
  </mergeCell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Import</vt:lpstr>
      <vt:lpstr>Bibliography</vt:lpstr>
      <vt:lpstr>Add References Manually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Enno Winkler</dc:creator>
  <cp:lastModifiedBy>Enno Winkler</cp:lastModifiedBy>
  <dcterms:created xsi:type="dcterms:W3CDTF">2023-10-16T08:08:00Z</dcterms:created>
  <dcterms:modified xsi:type="dcterms:W3CDTF">2026-06-15T06:09:00Z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A1BC72CEAAE849158A60997CDFF2CD30_12</vt:lpwstr>
  </property>
  <property fmtid="{D5CDD505-2E9C-101B-9397-08002B2CF9AE}" pid="3" name="KSOProductBuildVer">
    <vt:lpwstr>1031-12.1.0.26880</vt:lpwstr>
  </property>
  <property fmtid="{D5CDD505-2E9C-101B-9397-08002B2CF9AE}" pid="4" name="CalculationRule">
    <vt:i4>0</vt:i4>
  </property>
</Properties>
</file>